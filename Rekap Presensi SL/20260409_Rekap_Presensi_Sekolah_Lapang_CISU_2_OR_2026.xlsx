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a\Documents\2. Rice\2026\"/>
    </mc:Choice>
  </mc:AlternateContent>
  <xr:revisionPtr revIDLastSave="0" documentId="13_ncr:1_{4B51C28C-43B9-4EE3-8ECC-6CC14DB39244}" xr6:coauthVersionLast="47" xr6:coauthVersionMax="47" xr10:uidLastSave="{00000000-0000-0000-0000-000000000000}"/>
  <bookViews>
    <workbookView xWindow="-110" yWindow="-110" windowWidth="19420" windowHeight="10300" tabRatio="782" firstSheet="15" activeTab="16" xr2:uid="{57918AAF-287B-41BD-ACD6-D11A8C09DBD9}"/>
  </bookViews>
  <sheets>
    <sheet name="geo tag SL" sheetId="39" state="hidden" r:id="rId1"/>
    <sheet name="Jumlah SL" sheetId="37" r:id="rId2"/>
    <sheet name="SRP Geneng Ngawi" sheetId="50" r:id="rId3"/>
    <sheet name="SRP Karangmalang Sragen" sheetId="49" r:id="rId4"/>
    <sheet name="SRP Manggis Boyolali" sheetId="41" r:id="rId5"/>
    <sheet name="SRP Bangak Boyolali " sheetId="45" r:id="rId6"/>
    <sheet name="SRP Sumber Boyolali" sheetId="44" r:id="rId7"/>
    <sheet name="SRP Sukorejo Sragen" sheetId="40" r:id="rId8"/>
    <sheet name="SRP Kliwonan Sragen" sheetId="42" r:id="rId9"/>
    <sheet name="SRP Jotangan Boyolali" sheetId="43" r:id="rId10"/>
    <sheet name="SRP Klumutan Madiun" sheetId="48" r:id="rId11"/>
    <sheet name="SRP Pogung Klaten" sheetId="51" r:id="rId12"/>
    <sheet name="SRP Mojo Boyolali" sheetId="52" r:id="rId13"/>
    <sheet name="SRP Bahat Klaten" sheetId="53" r:id="rId14"/>
    <sheet name="SRP Tawangrejo" sheetId="54" r:id="rId15"/>
    <sheet name="SRP Sugihwaras" sheetId="55" r:id="rId16"/>
    <sheet name="indirect 2026" sheetId="57" r:id="rId17"/>
    <sheet name="Tab all" sheetId="22" r:id="rId18"/>
    <sheet name="Manggis" sheetId="6" r:id="rId19"/>
    <sheet name="Sukorejo" sheetId="10" r:id="rId20"/>
    <sheet name="Kliwonan" sheetId="46" r:id="rId21"/>
    <sheet name="Jotangan" sheetId="47" r:id="rId22"/>
    <sheet name="Tawangrejo" sheetId="8" r:id="rId23"/>
    <sheet name="Geneng" sheetId="15" r:id="rId24"/>
    <sheet name="Klumutan" sheetId="11" r:id="rId25"/>
  </sheets>
  <definedNames>
    <definedName name="_xlnm._FilterDatabase" localSheetId="23" hidden="1">Geneng!$A$2:$T$42</definedName>
    <definedName name="_xlnm._FilterDatabase" localSheetId="16" hidden="1">'indirect 2026'!$A$1:$E$221</definedName>
    <definedName name="_xlnm._FilterDatabase" localSheetId="21" hidden="1">Jotangan!$A$2:$V$67</definedName>
    <definedName name="_xlnm._FilterDatabase" localSheetId="20" hidden="1">Kliwonan!$A$2:$U$45</definedName>
    <definedName name="_xlnm._FilterDatabase" localSheetId="24" hidden="1">Klumutan!$A$2:$T$74</definedName>
    <definedName name="_xlnm._FilterDatabase" localSheetId="18" hidden="1">Manggis!$A$2:$AC$63</definedName>
    <definedName name="_xlnm._FilterDatabase" localSheetId="13" hidden="1">'SRP Bahat Klaten'!$A$2:$F$40</definedName>
    <definedName name="_xlnm._FilterDatabase" localSheetId="5" hidden="1">'SRP Bangak Boyolali '!$A$2:$F$37</definedName>
    <definedName name="_xlnm._FilterDatabase" localSheetId="2" hidden="1">'SRP Geneng Ngawi'!$A$2:$E$34</definedName>
    <definedName name="_xlnm._FilterDatabase" localSheetId="9" hidden="1">'SRP Jotangan Boyolali'!$A$2:$F$2</definedName>
    <definedName name="_xlnm._FilterDatabase" localSheetId="3" hidden="1">'SRP Karangmalang Sragen'!$A$2:$E$37</definedName>
    <definedName name="_xlnm._FilterDatabase" localSheetId="8" hidden="1">'SRP Kliwonan Sragen'!$A$2:$E$37</definedName>
    <definedName name="_xlnm._FilterDatabase" localSheetId="10" hidden="1">'SRP Klumutan Madiun'!$A$2:$F$29</definedName>
    <definedName name="_xlnm._FilterDatabase" localSheetId="4" hidden="1">'SRP Manggis Boyolali'!$A$2:$E$29</definedName>
    <definedName name="_xlnm._FilterDatabase" localSheetId="12" hidden="1">'SRP Mojo Boyolali'!$A$2:$F$2</definedName>
    <definedName name="_xlnm._FilterDatabase" localSheetId="11" hidden="1">'SRP Pogung Klaten'!$A$2:$F$2</definedName>
    <definedName name="_xlnm._FilterDatabase" localSheetId="15" hidden="1">'SRP Sugihwaras'!$A$2:$F$34</definedName>
    <definedName name="_xlnm._FilterDatabase" localSheetId="7" hidden="1">'SRP Sukorejo Sragen'!$A$2:$E$36</definedName>
    <definedName name="_xlnm._FilterDatabase" localSheetId="6" hidden="1">'SRP Sumber Boyolali'!$A$2:$F$38</definedName>
    <definedName name="_xlnm._FilterDatabase" localSheetId="14" hidden="1">'SRP Tawangrejo'!$A$2:$F$40</definedName>
    <definedName name="_xlnm._FilterDatabase" localSheetId="19" hidden="1">Sukorejo!$A$2:$V$61</definedName>
    <definedName name="_xlnm._FilterDatabase" localSheetId="17" hidden="1">'Tab all'!$P$2:$T$2</definedName>
    <definedName name="_xlnm._FilterDatabase" localSheetId="22" hidden="1">Tawangrejo!$A$2:$T$55</definedName>
    <definedName name="_xlnm.Print_Area" localSheetId="23">Geneng!$A$1:$E$42</definedName>
    <definedName name="_xlnm.Print_Area" localSheetId="20">Kliwonan!$A$1:$E$45</definedName>
    <definedName name="_xlnm.Print_Area" localSheetId="24">Klumutan!$A$1:$E$28</definedName>
    <definedName name="_xlnm.Print_Area" localSheetId="18">Manggis!$A$1:$M$27</definedName>
    <definedName name="_xlnm.Print_Area" localSheetId="19">Sukorejo!$A$1:$E$55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22" l="1"/>
  <c r="U27" i="22" s="1"/>
  <c r="U23" i="22"/>
  <c r="T27" i="22"/>
  <c r="M31" i="8"/>
  <c r="M29" i="8"/>
  <c r="P29" i="8" s="1"/>
  <c r="D49" i="15" l="1"/>
  <c r="L16" i="22" s="1"/>
  <c r="D48" i="15"/>
  <c r="L15" i="22" s="1"/>
  <c r="L17" i="22"/>
  <c r="L14" i="22"/>
  <c r="D50" i="15"/>
  <c r="D47" i="15"/>
  <c r="D52" i="8"/>
  <c r="K15" i="22" s="1"/>
  <c r="D53" i="8"/>
  <c r="K16" i="22" s="1"/>
  <c r="E7" i="22"/>
  <c r="D54" i="8"/>
  <c r="K17" i="22" s="1"/>
  <c r="D51" i="8"/>
  <c r="K14" i="22" s="1"/>
  <c r="J15" i="22"/>
  <c r="J16" i="22"/>
  <c r="J17" i="22"/>
  <c r="J14" i="22"/>
  <c r="J18" i="22" s="1"/>
  <c r="E79" i="11"/>
  <c r="E78" i="11"/>
  <c r="E77" i="11"/>
  <c r="E76" i="11"/>
  <c r="E72" i="47"/>
  <c r="E71" i="47"/>
  <c r="E70" i="47"/>
  <c r="E69" i="47"/>
  <c r="E52" i="46"/>
  <c r="E51" i="46"/>
  <c r="E50" i="46"/>
  <c r="E49" i="46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I8" i="22"/>
  <c r="J8" i="22"/>
  <c r="K8" i="22"/>
  <c r="L8" i="22"/>
  <c r="H8" i="22"/>
  <c r="I44" i="15"/>
  <c r="J44" i="15"/>
  <c r="K44" i="15"/>
  <c r="L44" i="15"/>
  <c r="M7" i="22"/>
  <c r="I49" i="8"/>
  <c r="I7" i="22" s="1"/>
  <c r="J49" i="8"/>
  <c r="J7" i="22" s="1"/>
  <c r="K49" i="8"/>
  <c r="K7" i="22" s="1"/>
  <c r="L49" i="8"/>
  <c r="L7" i="22" s="1"/>
  <c r="H49" i="8"/>
  <c r="H7" i="22" s="1"/>
  <c r="I6" i="22"/>
  <c r="J6" i="22"/>
  <c r="L6" i="22"/>
  <c r="M6" i="22"/>
  <c r="H6" i="22"/>
  <c r="I67" i="47"/>
  <c r="J67" i="47"/>
  <c r="K67" i="47"/>
  <c r="K6" i="22" s="1"/>
  <c r="L67" i="47"/>
  <c r="M67" i="47"/>
  <c r="N67" i="47"/>
  <c r="I5" i="22"/>
  <c r="J5" i="22"/>
  <c r="K5" i="22"/>
  <c r="L5" i="22"/>
  <c r="M5" i="22"/>
  <c r="I47" i="46"/>
  <c r="J47" i="46"/>
  <c r="K47" i="46"/>
  <c r="L47" i="46"/>
  <c r="H47" i="46"/>
  <c r="I9" i="22"/>
  <c r="J9" i="22"/>
  <c r="K9" i="22"/>
  <c r="L9" i="22"/>
  <c r="M9" i="22"/>
  <c r="I73" i="11"/>
  <c r="J73" i="11"/>
  <c r="K73" i="11"/>
  <c r="L73" i="11"/>
  <c r="M73" i="11"/>
  <c r="P49" i="47"/>
  <c r="O49" i="47"/>
  <c r="E5" i="22"/>
  <c r="K18" i="22" l="1"/>
  <c r="L18" i="22"/>
  <c r="D51" i="15"/>
  <c r="D55" i="8"/>
  <c r="H67" i="47"/>
  <c r="S16" i="22"/>
  <c r="T16" i="22" s="1"/>
  <c r="S15" i="22"/>
  <c r="T15" i="22" s="1"/>
  <c r="D40" i="55"/>
  <c r="D39" i="55"/>
  <c r="D38" i="55"/>
  <c r="D37" i="55"/>
  <c r="D49" i="54"/>
  <c r="D48" i="54"/>
  <c r="D47" i="54"/>
  <c r="D46" i="54"/>
  <c r="E9" i="22"/>
  <c r="E4" i="22"/>
  <c r="E71" i="10"/>
  <c r="E70" i="10"/>
  <c r="E69" i="10"/>
  <c r="E68" i="10"/>
  <c r="M66" i="10"/>
  <c r="M4" i="22" s="1"/>
  <c r="N13" i="10"/>
  <c r="N35" i="10"/>
  <c r="N18" i="10"/>
  <c r="N14" i="10"/>
  <c r="N43" i="10"/>
  <c r="P44" i="47"/>
  <c r="O44" i="47"/>
  <c r="S67" i="47"/>
  <c r="T19" i="22" l="1"/>
  <c r="T20" i="22" s="1"/>
  <c r="U20" i="22" s="1"/>
  <c r="D41" i="55"/>
  <c r="D50" i="54"/>
  <c r="S14" i="22"/>
  <c r="T14" i="22" s="1"/>
  <c r="D47" i="53"/>
  <c r="D46" i="53"/>
  <c r="D45" i="53"/>
  <c r="D44" i="53"/>
  <c r="H15" i="22"/>
  <c r="H17" i="22"/>
  <c r="H16" i="22"/>
  <c r="H14" i="22"/>
  <c r="S13" i="22"/>
  <c r="T13" i="22" s="1"/>
  <c r="H18" i="22" l="1"/>
  <c r="D48" i="53"/>
  <c r="E73" i="47"/>
  <c r="D41" i="52"/>
  <c r="D40" i="52"/>
  <c r="D39" i="52"/>
  <c r="D38" i="52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S12" i="22"/>
  <c r="T12" i="22" s="1"/>
  <c r="D37" i="51"/>
  <c r="D40" i="51"/>
  <c r="D39" i="51"/>
  <c r="D38" i="51"/>
  <c r="E3" i="22"/>
  <c r="F70" i="6"/>
  <c r="F69" i="6"/>
  <c r="F68" i="6"/>
  <c r="F67" i="6"/>
  <c r="U63" i="6"/>
  <c r="M3" i="22" s="1"/>
  <c r="D42" i="52" l="1"/>
  <c r="D41" i="51"/>
  <c r="G17" i="22"/>
  <c r="G16" i="22"/>
  <c r="G15" i="22"/>
  <c r="O32" i="11"/>
  <c r="O33" i="11"/>
  <c r="O34" i="11"/>
  <c r="O35" i="11"/>
  <c r="O36" i="11"/>
  <c r="O37" i="11"/>
  <c r="O38" i="11"/>
  <c r="O39" i="11"/>
  <c r="O40" i="11"/>
  <c r="N31" i="11"/>
  <c r="N32" i="11"/>
  <c r="N33" i="11"/>
  <c r="N34" i="11"/>
  <c r="N35" i="11"/>
  <c r="N36" i="11"/>
  <c r="N37" i="11"/>
  <c r="N38" i="11"/>
  <c r="N39" i="11"/>
  <c r="N40" i="11"/>
  <c r="O31" i="11"/>
  <c r="O52" i="10"/>
  <c r="O53" i="10"/>
  <c r="O54" i="10"/>
  <c r="N52" i="10"/>
  <c r="N53" i="10"/>
  <c r="N54" i="10"/>
  <c r="Q73" i="11"/>
  <c r="E6" i="22"/>
  <c r="O4" i="47"/>
  <c r="P4" i="47"/>
  <c r="O5" i="47"/>
  <c r="P5" i="47"/>
  <c r="O6" i="47"/>
  <c r="P6" i="47"/>
  <c r="O7" i="47"/>
  <c r="P7" i="47"/>
  <c r="O8" i="47"/>
  <c r="P8" i="47"/>
  <c r="O9" i="47"/>
  <c r="P9" i="47"/>
  <c r="O10" i="47"/>
  <c r="P10" i="47"/>
  <c r="O11" i="47"/>
  <c r="P11" i="47"/>
  <c r="O12" i="47"/>
  <c r="P12" i="47"/>
  <c r="O13" i="47"/>
  <c r="P13" i="47"/>
  <c r="O14" i="47"/>
  <c r="P14" i="47"/>
  <c r="O15" i="47"/>
  <c r="P15" i="47"/>
  <c r="O16" i="47"/>
  <c r="P16" i="47"/>
  <c r="O17" i="47"/>
  <c r="P17" i="47"/>
  <c r="O18" i="47"/>
  <c r="P18" i="47"/>
  <c r="O19" i="47"/>
  <c r="P19" i="47"/>
  <c r="O20" i="47"/>
  <c r="P20" i="47"/>
  <c r="O21" i="47"/>
  <c r="P21" i="47"/>
  <c r="O22" i="47"/>
  <c r="P22" i="47"/>
  <c r="O23" i="47"/>
  <c r="P23" i="47"/>
  <c r="O24" i="47"/>
  <c r="P24" i="47"/>
  <c r="O25" i="47"/>
  <c r="P25" i="47"/>
  <c r="O26" i="47"/>
  <c r="P26" i="47"/>
  <c r="O27" i="47"/>
  <c r="P27" i="47"/>
  <c r="O28" i="47"/>
  <c r="P28" i="47"/>
  <c r="O29" i="47"/>
  <c r="P29" i="47"/>
  <c r="O30" i="47"/>
  <c r="P30" i="47"/>
  <c r="O31" i="47"/>
  <c r="P31" i="47"/>
  <c r="O32" i="47"/>
  <c r="P32" i="47"/>
  <c r="O33" i="47"/>
  <c r="P33" i="47"/>
  <c r="O34" i="47"/>
  <c r="P34" i="47"/>
  <c r="O35" i="47"/>
  <c r="P35" i="47"/>
  <c r="O36" i="47"/>
  <c r="P36" i="47"/>
  <c r="P3" i="47"/>
  <c r="H73" i="11"/>
  <c r="H9" i="22" s="1"/>
  <c r="O18" i="11"/>
  <c r="O19" i="11"/>
  <c r="O20" i="11"/>
  <c r="O21" i="11"/>
  <c r="O22" i="11"/>
  <c r="O23" i="11"/>
  <c r="O24" i="11"/>
  <c r="O25" i="11"/>
  <c r="O26" i="11"/>
  <c r="O27" i="11"/>
  <c r="O28" i="11"/>
  <c r="O29" i="11"/>
  <c r="O16" i="11"/>
  <c r="O17" i="11"/>
  <c r="O4" i="11"/>
  <c r="O5" i="11"/>
  <c r="O6" i="11"/>
  <c r="O7" i="11"/>
  <c r="O8" i="11"/>
  <c r="O9" i="11"/>
  <c r="O10" i="11"/>
  <c r="O11" i="11"/>
  <c r="O12" i="11"/>
  <c r="O13" i="11"/>
  <c r="O14" i="11"/>
  <c r="O15" i="11"/>
  <c r="O3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4" i="11"/>
  <c r="N5" i="11"/>
  <c r="N6" i="11"/>
  <c r="N7" i="11"/>
  <c r="N8" i="11"/>
  <c r="N9" i="11"/>
  <c r="N10" i="11"/>
  <c r="N11" i="11"/>
  <c r="N12" i="11"/>
  <c r="N13" i="11"/>
  <c r="N14" i="11"/>
  <c r="N15" i="11"/>
  <c r="Q63" i="6"/>
  <c r="R63" i="6"/>
  <c r="J3" i="22" s="1"/>
  <c r="S63" i="6"/>
  <c r="Q10" i="22"/>
  <c r="D37" i="50"/>
  <c r="D38" i="50"/>
  <c r="D39" i="50"/>
  <c r="D36" i="50"/>
  <c r="Q8" i="22"/>
  <c r="D42" i="49"/>
  <c r="D40" i="49"/>
  <c r="D41" i="49"/>
  <c r="D39" i="49"/>
  <c r="R18" i="22"/>
  <c r="N4" i="10"/>
  <c r="O4" i="10"/>
  <c r="N5" i="10"/>
  <c r="O5" i="10"/>
  <c r="N6" i="10"/>
  <c r="O6" i="10"/>
  <c r="N7" i="10"/>
  <c r="O7" i="10"/>
  <c r="N8" i="10"/>
  <c r="O8" i="10"/>
  <c r="N9" i="10"/>
  <c r="O9" i="10"/>
  <c r="N10" i="10"/>
  <c r="O10" i="10"/>
  <c r="N11" i="10"/>
  <c r="O11" i="10"/>
  <c r="N12" i="10"/>
  <c r="O12" i="10"/>
  <c r="O13" i="10"/>
  <c r="O14" i="10"/>
  <c r="N15" i="10"/>
  <c r="O15" i="10"/>
  <c r="N16" i="10"/>
  <c r="O16" i="10"/>
  <c r="N17" i="10"/>
  <c r="O17" i="10"/>
  <c r="O18" i="10"/>
  <c r="N19" i="10"/>
  <c r="O19" i="10"/>
  <c r="N20" i="10"/>
  <c r="O20" i="10"/>
  <c r="N21" i="10"/>
  <c r="O21" i="10"/>
  <c r="N22" i="10"/>
  <c r="O22" i="10"/>
  <c r="N23" i="10"/>
  <c r="O23" i="10"/>
  <c r="N24" i="10"/>
  <c r="O24" i="10"/>
  <c r="N25" i="10"/>
  <c r="O25" i="10"/>
  <c r="N26" i="10"/>
  <c r="O26" i="10"/>
  <c r="N27" i="10"/>
  <c r="O27" i="10"/>
  <c r="N28" i="10"/>
  <c r="O28" i="10"/>
  <c r="N29" i="10"/>
  <c r="O29" i="10"/>
  <c r="N30" i="10"/>
  <c r="O30" i="10"/>
  <c r="N31" i="10"/>
  <c r="O31" i="10"/>
  <c r="N32" i="10"/>
  <c r="O32" i="10"/>
  <c r="N33" i="10"/>
  <c r="O33" i="10"/>
  <c r="N34" i="10"/>
  <c r="O34" i="10"/>
  <c r="O35" i="10"/>
  <c r="N36" i="10"/>
  <c r="O36" i="10"/>
  <c r="N37" i="10"/>
  <c r="O37" i="10"/>
  <c r="N38" i="10"/>
  <c r="O38" i="10"/>
  <c r="N39" i="10"/>
  <c r="O39" i="10"/>
  <c r="N40" i="10"/>
  <c r="O40" i="10"/>
  <c r="N41" i="10"/>
  <c r="O41" i="10"/>
  <c r="N42" i="10"/>
  <c r="O42" i="10"/>
  <c r="O43" i="10"/>
  <c r="N44" i="10"/>
  <c r="O44" i="10"/>
  <c r="N45" i="10"/>
  <c r="O45" i="10"/>
  <c r="N46" i="10"/>
  <c r="O46" i="10"/>
  <c r="N47" i="10"/>
  <c r="O47" i="10"/>
  <c r="N48" i="10"/>
  <c r="O48" i="10"/>
  <c r="N49" i="10"/>
  <c r="O49" i="10"/>
  <c r="N50" i="10"/>
  <c r="O50" i="10"/>
  <c r="N51" i="10"/>
  <c r="O51" i="10"/>
  <c r="N55" i="10"/>
  <c r="O55" i="10"/>
  <c r="D35" i="41"/>
  <c r="D32" i="41"/>
  <c r="D33" i="41"/>
  <c r="D34" i="41"/>
  <c r="E80" i="11" l="1"/>
  <c r="G14" i="22"/>
  <c r="G18" i="22" s="1"/>
  <c r="D36" i="41"/>
  <c r="S8" i="22"/>
  <c r="T8" i="22" s="1"/>
  <c r="S10" i="22"/>
  <c r="T10" i="22" s="1"/>
  <c r="Q66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5" i="10"/>
  <c r="P4" i="10"/>
  <c r="P5" i="10"/>
  <c r="P6" i="10"/>
  <c r="P7" i="10"/>
  <c r="O3" i="10"/>
  <c r="L66" i="10"/>
  <c r="L4" i="22" s="1"/>
  <c r="K66" i="10"/>
  <c r="K4" i="22" s="1"/>
  <c r="J66" i="10"/>
  <c r="J4" i="22" s="1"/>
  <c r="I66" i="10"/>
  <c r="I4" i="22" s="1"/>
  <c r="H66" i="10"/>
  <c r="H4" i="22" s="1"/>
  <c r="T63" i="6"/>
  <c r="L3" i="22" s="1"/>
  <c r="P63" i="6"/>
  <c r="Y63" i="6"/>
  <c r="Q11" i="22"/>
  <c r="D31" i="48"/>
  <c r="D34" i="48"/>
  <c r="D33" i="48"/>
  <c r="D32" i="48"/>
  <c r="D10" i="37"/>
  <c r="D9" i="37"/>
  <c r="D8" i="37"/>
  <c r="D7" i="37"/>
  <c r="R33" i="47"/>
  <c r="R32" i="47"/>
  <c r="R31" i="47"/>
  <c r="R30" i="47"/>
  <c r="R28" i="47"/>
  <c r="R27" i="47"/>
  <c r="R26" i="47"/>
  <c r="R25" i="47"/>
  <c r="R24" i="47"/>
  <c r="R23" i="47"/>
  <c r="R22" i="47"/>
  <c r="R21" i="47"/>
  <c r="R20" i="47"/>
  <c r="R19" i="47"/>
  <c r="R18" i="47"/>
  <c r="R16" i="47"/>
  <c r="R15" i="47"/>
  <c r="R14" i="47"/>
  <c r="R13" i="47"/>
  <c r="R10" i="47"/>
  <c r="R9" i="47"/>
  <c r="R8" i="47"/>
  <c r="R7" i="47"/>
  <c r="R6" i="47"/>
  <c r="R5" i="47"/>
  <c r="O3" i="47"/>
  <c r="D6" i="37"/>
  <c r="D5" i="37"/>
  <c r="D4" i="37"/>
  <c r="E38" i="43"/>
  <c r="E39" i="43"/>
  <c r="E40" i="43"/>
  <c r="E37" i="43"/>
  <c r="D40" i="42"/>
  <c r="D43" i="42"/>
  <c r="D42" i="42"/>
  <c r="D41" i="42"/>
  <c r="D42" i="40"/>
  <c r="D39" i="40"/>
  <c r="D41" i="40"/>
  <c r="D40" i="40"/>
  <c r="D41" i="44"/>
  <c r="D44" i="44"/>
  <c r="D43" i="44"/>
  <c r="D42" i="44"/>
  <c r="D43" i="45"/>
  <c r="D42" i="45"/>
  <c r="D41" i="45"/>
  <c r="D40" i="45"/>
  <c r="Q7" i="22"/>
  <c r="S7" i="22" s="1"/>
  <c r="T7" i="22" s="1"/>
  <c r="Q6" i="22"/>
  <c r="S6" i="22" s="1"/>
  <c r="Q5" i="22"/>
  <c r="S5" i="22" s="1"/>
  <c r="T5" i="22" s="1"/>
  <c r="Q4" i="22"/>
  <c r="S4" i="22" s="1"/>
  <c r="T4" i="22" s="1"/>
  <c r="I16" i="22"/>
  <c r="I17" i="22"/>
  <c r="I15" i="22"/>
  <c r="I14" i="22"/>
  <c r="P51" i="46"/>
  <c r="P50" i="46"/>
  <c r="P49" i="46"/>
  <c r="P48" i="46"/>
  <c r="H5" i="22"/>
  <c r="N45" i="46"/>
  <c r="M45" i="46"/>
  <c r="P45" i="46" s="1"/>
  <c r="N41" i="46"/>
  <c r="M41" i="46"/>
  <c r="N40" i="46"/>
  <c r="M40" i="46"/>
  <c r="N39" i="46"/>
  <c r="M39" i="46"/>
  <c r="N38" i="46"/>
  <c r="M38" i="46"/>
  <c r="N37" i="46"/>
  <c r="M37" i="46"/>
  <c r="N36" i="46"/>
  <c r="M36" i="46"/>
  <c r="N35" i="46"/>
  <c r="M35" i="46"/>
  <c r="N34" i="46"/>
  <c r="M34" i="46"/>
  <c r="P34" i="46" s="1"/>
  <c r="N33" i="46"/>
  <c r="M33" i="46"/>
  <c r="P33" i="46" s="1"/>
  <c r="N32" i="46"/>
  <c r="M32" i="46"/>
  <c r="P32" i="46" s="1"/>
  <c r="N31" i="46"/>
  <c r="M31" i="46"/>
  <c r="P31" i="46" s="1"/>
  <c r="N30" i="46"/>
  <c r="M30" i="46"/>
  <c r="P30" i="46" s="1"/>
  <c r="N29" i="46"/>
  <c r="M29" i="46"/>
  <c r="P29" i="46" s="1"/>
  <c r="N28" i="46"/>
  <c r="M28" i="46"/>
  <c r="P28" i="46" s="1"/>
  <c r="N27" i="46"/>
  <c r="M27" i="46"/>
  <c r="P27" i="46" s="1"/>
  <c r="N26" i="46"/>
  <c r="M26" i="46"/>
  <c r="P26" i="46" s="1"/>
  <c r="N25" i="46"/>
  <c r="N24" i="46"/>
  <c r="M24" i="46"/>
  <c r="P24" i="46" s="1"/>
  <c r="N22" i="46"/>
  <c r="M22" i="46"/>
  <c r="P22" i="46" s="1"/>
  <c r="N21" i="46"/>
  <c r="M21" i="46"/>
  <c r="P21" i="46" s="1"/>
  <c r="N19" i="46"/>
  <c r="M19" i="46"/>
  <c r="P19" i="46" s="1"/>
  <c r="N18" i="46"/>
  <c r="M18" i="46"/>
  <c r="P18" i="46" s="1"/>
  <c r="N17" i="46"/>
  <c r="N16" i="46"/>
  <c r="M16" i="46"/>
  <c r="P16" i="46" s="1"/>
  <c r="N15" i="46"/>
  <c r="M15" i="46"/>
  <c r="P15" i="46" s="1"/>
  <c r="N14" i="46"/>
  <c r="M14" i="46"/>
  <c r="P14" i="46" s="1"/>
  <c r="N13" i="46"/>
  <c r="M13" i="46"/>
  <c r="P13" i="46" s="1"/>
  <c r="N12" i="46"/>
  <c r="M12" i="46"/>
  <c r="P12" i="46" s="1"/>
  <c r="N11" i="46"/>
  <c r="M11" i="46"/>
  <c r="P11" i="46" s="1"/>
  <c r="N10" i="46"/>
  <c r="M10" i="46"/>
  <c r="P10" i="46" s="1"/>
  <c r="N9" i="46"/>
  <c r="M9" i="46"/>
  <c r="N8" i="46"/>
  <c r="M8" i="46"/>
  <c r="N7" i="46"/>
  <c r="M7" i="46"/>
  <c r="P7" i="46" s="1"/>
  <c r="N6" i="46"/>
  <c r="M6" i="46"/>
  <c r="P6" i="46" s="1"/>
  <c r="N5" i="46"/>
  <c r="M5" i="46"/>
  <c r="P5" i="46" s="1"/>
  <c r="N4" i="46"/>
  <c r="M4" i="46"/>
  <c r="P4" i="46" s="1"/>
  <c r="N3" i="46"/>
  <c r="M3" i="46"/>
  <c r="Q9" i="22"/>
  <c r="S9" i="22" s="1"/>
  <c r="T9" i="22" s="1"/>
  <c r="I3" i="22"/>
  <c r="S11" i="22" l="1"/>
  <c r="T11" i="22" s="1"/>
  <c r="T6" i="22"/>
  <c r="I18" i="22"/>
  <c r="D35" i="48"/>
  <c r="P70" i="47"/>
  <c r="P71" i="47"/>
  <c r="P73" i="47"/>
  <c r="R3" i="47"/>
  <c r="P72" i="47"/>
  <c r="E41" i="43"/>
  <c r="D44" i="42"/>
  <c r="D43" i="40"/>
  <c r="D45" i="44"/>
  <c r="D44" i="45"/>
  <c r="N49" i="46"/>
  <c r="N50" i="46"/>
  <c r="N52" i="46"/>
  <c r="P3" i="46"/>
  <c r="N51" i="46"/>
  <c r="F17" i="22"/>
  <c r="F15" i="22"/>
  <c r="F16" i="22"/>
  <c r="F14" i="22"/>
  <c r="F18" i="22" l="1"/>
  <c r="Q3" i="22"/>
  <c r="Q18" i="22" s="1"/>
  <c r="S3" i="22" l="1"/>
  <c r="S18" i="22" s="1"/>
  <c r="T23" i="22" s="1"/>
  <c r="W3" i="6"/>
  <c r="K3" i="22"/>
  <c r="H3" i="22"/>
  <c r="X43" i="6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" i="8"/>
  <c r="T3" i="22" l="1"/>
  <c r="T18" i="22" s="1"/>
  <c r="T25" i="22" s="1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20" i="15"/>
  <c r="N21" i="15"/>
  <c r="N22" i="15"/>
  <c r="N23" i="15"/>
  <c r="N24" i="15"/>
  <c r="N25" i="15"/>
  <c r="N26" i="15"/>
  <c r="N27" i="15"/>
  <c r="N41" i="15"/>
  <c r="N42" i="15"/>
  <c r="N3" i="15"/>
  <c r="H44" i="15" l="1"/>
  <c r="L10" i="22"/>
  <c r="O30" i="11" l="1"/>
  <c r="N51" i="8"/>
  <c r="O77" i="11"/>
  <c r="O78" i="11"/>
  <c r="O69" i="10"/>
  <c r="O68" i="10"/>
  <c r="E2" i="37"/>
  <c r="U2" i="22"/>
  <c r="M14" i="8"/>
  <c r="P14" i="8" s="1"/>
  <c r="M19" i="8"/>
  <c r="P19" i="8" s="1"/>
  <c r="J10" i="22" l="1"/>
  <c r="I10" i="22"/>
  <c r="K10" i="22"/>
  <c r="N48" i="15"/>
  <c r="W65" i="6"/>
  <c r="W66" i="6"/>
  <c r="N47" i="15"/>
  <c r="N52" i="8"/>
  <c r="G8" i="22" l="1"/>
  <c r="P27" i="11" l="1"/>
  <c r="N3" i="11"/>
  <c r="P9" i="11"/>
  <c r="P31" i="8"/>
  <c r="P32" i="8"/>
  <c r="P48" i="8"/>
  <c r="P68" i="10"/>
  <c r="P3" i="11" l="1"/>
  <c r="P19" i="11"/>
  <c r="P12" i="11"/>
  <c r="E8" i="22" l="1"/>
  <c r="O25" i="15" l="1"/>
  <c r="O11" i="15"/>
  <c r="O6" i="15"/>
  <c r="P13" i="11"/>
  <c r="P23" i="11"/>
  <c r="P7" i="11"/>
  <c r="P11" i="11"/>
  <c r="P28" i="11"/>
  <c r="P24" i="11"/>
  <c r="P15" i="11"/>
  <c r="P4" i="11"/>
  <c r="P26" i="11"/>
  <c r="P20" i="11"/>
  <c r="P10" i="11"/>
  <c r="P6" i="11"/>
  <c r="P8" i="11"/>
  <c r="P21" i="11"/>
  <c r="P25" i="11"/>
  <c r="P5" i="11"/>
  <c r="P18" i="11"/>
  <c r="P22" i="11"/>
  <c r="M3" i="15"/>
  <c r="M42" i="15"/>
  <c r="M41" i="15"/>
  <c r="M44" i="15" l="1"/>
  <c r="M10" i="22" s="1"/>
  <c r="N49" i="15"/>
  <c r="N50" i="15"/>
  <c r="O17" i="15"/>
  <c r="O41" i="15"/>
  <c r="O20" i="15"/>
  <c r="O27" i="15"/>
  <c r="O7" i="15"/>
  <c r="O24" i="15"/>
  <c r="O42" i="15"/>
  <c r="O9" i="15"/>
  <c r="O18" i="15"/>
  <c r="O14" i="15"/>
  <c r="O10" i="15"/>
  <c r="O21" i="15"/>
  <c r="O15" i="15"/>
  <c r="O22" i="15"/>
  <c r="O8" i="15"/>
  <c r="O3" i="15"/>
  <c r="O26" i="15"/>
  <c r="O12" i="15"/>
  <c r="O5" i="15"/>
  <c r="O23" i="15"/>
  <c r="O13" i="15"/>
  <c r="O4" i="15"/>
  <c r="O16" i="15"/>
  <c r="E10" i="22" l="1"/>
  <c r="N30" i="11" l="1"/>
  <c r="P30" i="11" s="1"/>
  <c r="O50" i="15"/>
  <c r="O49" i="15"/>
  <c r="O48" i="15"/>
  <c r="O47" i="15"/>
  <c r="O46" i="15"/>
  <c r="O45" i="15"/>
  <c r="O44" i="15"/>
  <c r="P70" i="10"/>
  <c r="P69" i="10"/>
  <c r="P67" i="10"/>
  <c r="V3" i="6"/>
  <c r="M13" i="8"/>
  <c r="M30" i="8"/>
  <c r="M28" i="8"/>
  <c r="M27" i="8"/>
  <c r="M26" i="8"/>
  <c r="M25" i="8"/>
  <c r="M24" i="8"/>
  <c r="M23" i="8"/>
  <c r="M22" i="8"/>
  <c r="M20" i="8"/>
  <c r="M21" i="8"/>
  <c r="M18" i="8"/>
  <c r="M16" i="8"/>
  <c r="M15" i="8"/>
  <c r="M10" i="8"/>
  <c r="M9" i="8"/>
  <c r="M8" i="8"/>
  <c r="M7" i="8"/>
  <c r="M6" i="8"/>
  <c r="M5" i="8"/>
  <c r="M3" i="8"/>
  <c r="N3" i="10"/>
  <c r="P3" i="10" l="1"/>
  <c r="N66" i="10"/>
  <c r="V63" i="6"/>
  <c r="N54" i="8"/>
  <c r="N53" i="8"/>
  <c r="O80" i="11"/>
  <c r="O79" i="11"/>
  <c r="O71" i="10"/>
  <c r="O70" i="10"/>
  <c r="W67" i="6"/>
  <c r="W68" i="6"/>
  <c r="P7" i="8"/>
  <c r="P5" i="8"/>
  <c r="P18" i="8"/>
  <c r="P27" i="8"/>
  <c r="P13" i="8"/>
  <c r="P6" i="8"/>
  <c r="P21" i="8"/>
  <c r="P28" i="8"/>
  <c r="P30" i="8"/>
  <c r="P20" i="8"/>
  <c r="P8" i="8"/>
  <c r="P9" i="8"/>
  <c r="P10" i="8"/>
  <c r="P24" i="8"/>
  <c r="P15" i="8"/>
  <c r="P25" i="8"/>
  <c r="P22" i="8"/>
  <c r="P23" i="8"/>
  <c r="P3" i="8"/>
  <c r="P16" i="8"/>
  <c r="P26" i="8"/>
  <c r="P14" i="11"/>
  <c r="X11" i="6"/>
  <c r="X14" i="6"/>
  <c r="X10" i="6"/>
  <c r="X24" i="6"/>
  <c r="X57" i="6"/>
  <c r="X19" i="6"/>
  <c r="X22" i="6"/>
  <c r="X4" i="6"/>
  <c r="X16" i="6"/>
  <c r="X20" i="6"/>
  <c r="X17" i="6"/>
  <c r="X8" i="6"/>
  <c r="X6" i="6"/>
  <c r="X21" i="6"/>
  <c r="X7" i="6"/>
  <c r="X18" i="6"/>
  <c r="X25" i="6"/>
  <c r="X42" i="6"/>
  <c r="X27" i="6"/>
  <c r="X5" i="6"/>
  <c r="X12" i="6"/>
  <c r="X23" i="6"/>
  <c r="X15" i="6"/>
  <c r="X26" i="6"/>
  <c r="X3" i="6"/>
  <c r="H10" i="22" l="1"/>
  <c r="N10" i="22" s="1"/>
  <c r="F3" i="22"/>
  <c r="G4" i="22"/>
  <c r="G3" i="22"/>
  <c r="F4" i="22"/>
  <c r="F8" i="22"/>
  <c r="F10" i="22" l="1"/>
  <c r="G10" i="22"/>
</calcChain>
</file>

<file path=xl/sharedStrings.xml><?xml version="1.0" encoding="utf-8"?>
<sst xmlns="http://schemas.openxmlformats.org/spreadsheetml/2006/main" count="4774" uniqueCount="1150">
  <si>
    <t>No</t>
  </si>
  <si>
    <t>Farmers counted as unique name</t>
  </si>
  <si>
    <t>Participants who 80% attendance the SL</t>
  </si>
  <si>
    <t>SL 1</t>
  </si>
  <si>
    <t>SL 2</t>
  </si>
  <si>
    <t>SL 3</t>
  </si>
  <si>
    <t>SL 4</t>
  </si>
  <si>
    <t>SL 5</t>
  </si>
  <si>
    <t>TOTAL</t>
  </si>
  <si>
    <t>Pesnab</t>
  </si>
  <si>
    <t>POC</t>
  </si>
  <si>
    <t>Kompos</t>
  </si>
  <si>
    <t>Mulsa</t>
  </si>
  <si>
    <t>Name</t>
  </si>
  <si>
    <t>VF</t>
  </si>
  <si>
    <t>Full Name</t>
  </si>
  <si>
    <t>Luas Lahan (m2)</t>
  </si>
  <si>
    <t>Tanaman</t>
  </si>
  <si>
    <t>Sex</t>
  </si>
  <si>
    <t>Age</t>
  </si>
  <si>
    <t>Date / Field School</t>
  </si>
  <si>
    <t>Grafik</t>
  </si>
  <si>
    <t>Grafik Total</t>
  </si>
  <si>
    <t>Sum of participants</t>
  </si>
  <si>
    <t>Percentage of attendance</t>
  </si>
  <si>
    <t>Note</t>
  </si>
  <si>
    <t>jika peserta SL hadir</t>
  </si>
  <si>
    <t>jika peserta SL tidak  hadir</t>
  </si>
  <si>
    <t>Male &gt;35 yrs</t>
  </si>
  <si>
    <t>Female &lt;=35 yrs</t>
  </si>
  <si>
    <t>Female &gt;35 yrs</t>
  </si>
  <si>
    <t>Count of parcitipants 80% attendance</t>
  </si>
  <si>
    <t>Male &lt;35 yrs</t>
  </si>
  <si>
    <t>Male &gt;=35 yrs</t>
  </si>
  <si>
    <t>Female &lt;35 yrs</t>
  </si>
  <si>
    <t>Jarwo</t>
  </si>
  <si>
    <t>Female &gt;= 35 yrs</t>
  </si>
  <si>
    <t>BSB 1 D 2 Eko Ismawati</t>
  </si>
  <si>
    <t>BSB 1 D 3 Wakidi</t>
  </si>
  <si>
    <t>BSB 1 D 4 Masruchin</t>
  </si>
  <si>
    <t>no jpg</t>
  </si>
  <si>
    <t>age no info</t>
  </si>
  <si>
    <t xml:space="preserve"> age no info</t>
  </si>
  <si>
    <t>Sutomo</t>
  </si>
  <si>
    <t>Participants who 50% attendance the SL</t>
  </si>
  <si>
    <t>sparkline</t>
  </si>
  <si>
    <t>Alamat</t>
  </si>
  <si>
    <t>Jumlah SL</t>
  </si>
  <si>
    <t>Jumlah Kegiatan SL, data ter-up date</t>
  </si>
  <si>
    <t>BSB 1 D3</t>
  </si>
  <si>
    <t>Almat</t>
  </si>
  <si>
    <t>Count of parcitipants 50% attendance</t>
  </si>
  <si>
    <t>Count of parcitipants 4 times attendance</t>
  </si>
  <si>
    <t>Count of parcitipants 3 times attendance</t>
  </si>
  <si>
    <t>Kelompok</t>
  </si>
  <si>
    <t>Madiun</t>
  </si>
  <si>
    <t>Ngawi</t>
  </si>
  <si>
    <t>Klaten</t>
  </si>
  <si>
    <t>Rikolto</t>
  </si>
  <si>
    <t>Boyolali</t>
  </si>
  <si>
    <t>Juwono</t>
  </si>
  <si>
    <t>Anastasia Caturina</t>
  </si>
  <si>
    <t>Rahmad Yulianto</t>
  </si>
  <si>
    <t>Anifah Eviyanti</t>
  </si>
  <si>
    <t>Suryati</t>
  </si>
  <si>
    <t>Nurti</t>
  </si>
  <si>
    <t>Fitri Rahayu</t>
  </si>
  <si>
    <t>Sunaryo</t>
  </si>
  <si>
    <t>Darobi</t>
  </si>
  <si>
    <t>BPP Mojosongo</t>
  </si>
  <si>
    <t>Jambu etan</t>
  </si>
  <si>
    <t>Bibis rejo</t>
  </si>
  <si>
    <t>Jambu wetan</t>
  </si>
  <si>
    <t>Santosa</t>
  </si>
  <si>
    <t>Jatirejo</t>
  </si>
  <si>
    <t>Nur Sahid</t>
  </si>
  <si>
    <t>Dawar</t>
  </si>
  <si>
    <t>Joko Susilo</t>
  </si>
  <si>
    <t>Solekan</t>
  </si>
  <si>
    <t>Jarwanto</t>
  </si>
  <si>
    <t>Aris Salam</t>
  </si>
  <si>
    <t>Suyadi</t>
  </si>
  <si>
    <t>Sudadi</t>
  </si>
  <si>
    <t>Widodo</t>
  </si>
  <si>
    <t>Abdul Wakhid</t>
  </si>
  <si>
    <t>Mulyono</t>
  </si>
  <si>
    <t>Agus Anggoro Jati</t>
  </si>
  <si>
    <t>Joko Phihantoko</t>
  </si>
  <si>
    <t>Ratih Rahmawati</t>
  </si>
  <si>
    <t>Gapoktan</t>
  </si>
  <si>
    <t>Tani Harjo</t>
  </si>
  <si>
    <t>Tani Makmur</t>
  </si>
  <si>
    <t>Tani Subur</t>
  </si>
  <si>
    <t>Balmiri</t>
  </si>
  <si>
    <t>Jambu</t>
  </si>
  <si>
    <t>Kiringan</t>
  </si>
  <si>
    <t>Laki-laki</t>
  </si>
  <si>
    <t>Perempuan</t>
  </si>
  <si>
    <t>Kabupaten</t>
  </si>
  <si>
    <t>Sragen</t>
  </si>
  <si>
    <t>SL 6</t>
  </si>
  <si>
    <t>Manggis</t>
  </si>
  <si>
    <t>Nama Lengkap</t>
  </si>
  <si>
    <t>Poktan</t>
  </si>
  <si>
    <t>Organisasi / Klp Tani / Alamat</t>
  </si>
  <si>
    <t>Usia</t>
  </si>
  <si>
    <t>Jenis Kelamin</t>
  </si>
  <si>
    <t>Winarmo</t>
  </si>
  <si>
    <t>Agung Widodo</t>
  </si>
  <si>
    <t>Karni</t>
  </si>
  <si>
    <t>Sumarno</t>
  </si>
  <si>
    <t>Andri</t>
  </si>
  <si>
    <t>Sadi</t>
  </si>
  <si>
    <t>Hartini</t>
  </si>
  <si>
    <t>Novika</t>
  </si>
  <si>
    <t>Gunarto</t>
  </si>
  <si>
    <t>Suyono</t>
  </si>
  <si>
    <t>Santo</t>
  </si>
  <si>
    <t>Karya Mandiri</t>
  </si>
  <si>
    <t>Margo Rukun II</t>
  </si>
  <si>
    <t>Plalangan</t>
  </si>
  <si>
    <t>Sukorejo</t>
  </si>
  <si>
    <t>Gemah Ripah</t>
  </si>
  <si>
    <t>Pakis (Margowunung)</t>
  </si>
  <si>
    <t>Karangjati</t>
  </si>
  <si>
    <t>Cengkilik Margowunung</t>
  </si>
  <si>
    <t>Pujiwoyono</t>
  </si>
  <si>
    <t>Padmo</t>
  </si>
  <si>
    <t>Grenjengan</t>
  </si>
  <si>
    <t>Harmoko</t>
  </si>
  <si>
    <t>Danang Tri W</t>
  </si>
  <si>
    <t>Jumiyem</t>
  </si>
  <si>
    <t>Sukrisno</t>
  </si>
  <si>
    <t>Sri Yanto</t>
  </si>
  <si>
    <t>Nanik</t>
  </si>
  <si>
    <t>Pondok</t>
  </si>
  <si>
    <t>Sularsi</t>
  </si>
  <si>
    <t>Sadiman</t>
  </si>
  <si>
    <t>Siswo Sumarto</t>
  </si>
  <si>
    <t>Harsanto</t>
  </si>
  <si>
    <t>Ponem</t>
  </si>
  <si>
    <t>Mugono</t>
  </si>
  <si>
    <t>Suyanto</t>
  </si>
  <si>
    <t>Wiro</t>
  </si>
  <si>
    <t>Roy Alfian</t>
  </si>
  <si>
    <t>Bandi</t>
  </si>
  <si>
    <t>Muniyono</t>
  </si>
  <si>
    <t>Pandok</t>
  </si>
  <si>
    <t>Srandu</t>
  </si>
  <si>
    <t>Diatas 35 tahun</t>
  </si>
  <si>
    <t>Sigit</t>
  </si>
  <si>
    <t xml:space="preserve">Training SRP </t>
  </si>
  <si>
    <t>Sukari</t>
  </si>
  <si>
    <t>Sumarto</t>
  </si>
  <si>
    <t>Jarmanto</t>
  </si>
  <si>
    <t>Khoirul Fuad</t>
  </si>
  <si>
    <t>Sumardi</t>
  </si>
  <si>
    <t>Santoso</t>
  </si>
  <si>
    <t>Sunarti</t>
  </si>
  <si>
    <t>Rini Rahma</t>
  </si>
  <si>
    <t>Jambu Manggis</t>
  </si>
  <si>
    <t>Bibis Rejo</t>
  </si>
  <si>
    <t>Jambu Wetan</t>
  </si>
  <si>
    <t>Miliran</t>
  </si>
  <si>
    <t>Kiringan, Manggis</t>
  </si>
  <si>
    <t>Sajinu</t>
  </si>
  <si>
    <t>Mujiono</t>
  </si>
  <si>
    <t>Limayati</t>
  </si>
  <si>
    <t>Daryono</t>
  </si>
  <si>
    <t>Harto</t>
  </si>
  <si>
    <t>Mardi Makmur</t>
  </si>
  <si>
    <t>Nurti A</t>
  </si>
  <si>
    <t>Arifah Eviyanti</t>
  </si>
  <si>
    <t>Joko Setiyanto</t>
  </si>
  <si>
    <t>Isdiyani</t>
  </si>
  <si>
    <t>Setyna Witantri</t>
  </si>
  <si>
    <t>Joko Prihantoko</t>
  </si>
  <si>
    <t>Rustamaji</t>
  </si>
  <si>
    <t>Perpadi Boyolali</t>
  </si>
  <si>
    <t>Sama / dibawah 35 tahun</t>
  </si>
  <si>
    <t>usia sama/dibawah 35</t>
  </si>
  <si>
    <t>laki-laki</t>
  </si>
  <si>
    <t>perempuan</t>
  </si>
  <si>
    <t>usia diatas 35</t>
  </si>
  <si>
    <t>Total</t>
  </si>
  <si>
    <t>Sis Pardi</t>
  </si>
  <si>
    <t>Sri Rejeki</t>
  </si>
  <si>
    <t>Margo Rukun I</t>
  </si>
  <si>
    <t>Sri Makmur</t>
  </si>
  <si>
    <t>Margo Rukun 2</t>
  </si>
  <si>
    <t>Yuni</t>
  </si>
  <si>
    <t>PPL</t>
  </si>
  <si>
    <t>Sri Hartati</t>
  </si>
  <si>
    <t>Sularsih</t>
  </si>
  <si>
    <t>Sunah Priyanti</t>
  </si>
  <si>
    <t>Hartanto</t>
  </si>
  <si>
    <t>Juyono</t>
  </si>
  <si>
    <t>Ali Silsa</t>
  </si>
  <si>
    <t>Markatam</t>
  </si>
  <si>
    <t>Danang Tri Utomo</t>
  </si>
  <si>
    <t>Sulastri</t>
  </si>
  <si>
    <t>Pujiwiyono</t>
  </si>
  <si>
    <t>Ni Suida</t>
  </si>
  <si>
    <t>Sriyana</t>
  </si>
  <si>
    <t>Supriyanto</t>
  </si>
  <si>
    <t>Kardi</t>
  </si>
  <si>
    <t>Haribowo</t>
  </si>
  <si>
    <t>Patmasuwido</t>
  </si>
  <si>
    <t>Sajino</t>
  </si>
  <si>
    <t>Harta</t>
  </si>
  <si>
    <t>Jambu Kulon</t>
  </si>
  <si>
    <t>Rini R</t>
  </si>
  <si>
    <t>Dalmini</t>
  </si>
  <si>
    <t>Sri Mulyani</t>
  </si>
  <si>
    <t>Dwi Hartono</t>
  </si>
  <si>
    <t>Jumadi</t>
  </si>
  <si>
    <t>Supatdiman</t>
  </si>
  <si>
    <t>Tafib Zen</t>
  </si>
  <si>
    <t>BPP Teras</t>
  </si>
  <si>
    <t>Umiyati</t>
  </si>
  <si>
    <t>Dwijo</t>
  </si>
  <si>
    <t>Kader Manggis</t>
  </si>
  <si>
    <t>Kliwonan</t>
  </si>
  <si>
    <t>Darno</t>
  </si>
  <si>
    <t>Ratih R</t>
  </si>
  <si>
    <t>UNS</t>
  </si>
  <si>
    <t>Yusuf Agung</t>
  </si>
  <si>
    <t>Sri Rumono</t>
  </si>
  <si>
    <t>Wiyono</t>
  </si>
  <si>
    <t>Hartono</t>
  </si>
  <si>
    <t>Sriwahyu</t>
  </si>
  <si>
    <t>Suparni</t>
  </si>
  <si>
    <t>Ari Sunarni</t>
  </si>
  <si>
    <t>Sartono</t>
  </si>
  <si>
    <t>Suprapto</t>
  </si>
  <si>
    <t>Sriyono</t>
  </si>
  <si>
    <t>Warsito</t>
  </si>
  <si>
    <t>Slamet Widodo</t>
  </si>
  <si>
    <t>Tarno</t>
  </si>
  <si>
    <t>Gimin M</t>
  </si>
  <si>
    <t>Surono</t>
  </si>
  <si>
    <t>Wakit</t>
  </si>
  <si>
    <t>JokoTaniII</t>
  </si>
  <si>
    <t>Slamet Riyono</t>
  </si>
  <si>
    <t>Sukimin</t>
  </si>
  <si>
    <t>Sujatno</t>
  </si>
  <si>
    <t>Kuyang</t>
  </si>
  <si>
    <t>Ribut Lestari</t>
  </si>
  <si>
    <t>Slamet Sanjaya</t>
  </si>
  <si>
    <t>Rubiyanto</t>
  </si>
  <si>
    <t>Dasuki</t>
  </si>
  <si>
    <t>Aswanda</t>
  </si>
  <si>
    <t>Ali Sayogo</t>
  </si>
  <si>
    <t>Suratno</t>
  </si>
  <si>
    <t>Rusmadi</t>
  </si>
  <si>
    <t xml:space="preserve">Sholeh </t>
  </si>
  <si>
    <t>Luthfi Attiqoh</t>
  </si>
  <si>
    <t>Kaila Ramdani P.N</t>
  </si>
  <si>
    <t>Dwi Rejeki</t>
  </si>
  <si>
    <t>Jeng Bintang JF</t>
  </si>
  <si>
    <t>Mekarsari</t>
  </si>
  <si>
    <t>Sutarman</t>
  </si>
  <si>
    <t>Harmin</t>
  </si>
  <si>
    <t>Siswanto</t>
  </si>
  <si>
    <t>Supriyanta</t>
  </si>
  <si>
    <t>Sukarman</t>
  </si>
  <si>
    <t>Wariso</t>
  </si>
  <si>
    <t>Suparno</t>
  </si>
  <si>
    <t>Suminah</t>
  </si>
  <si>
    <t>Subimawi</t>
  </si>
  <si>
    <t>Samijo</t>
  </si>
  <si>
    <t>Anis K</t>
  </si>
  <si>
    <t>Galang S</t>
  </si>
  <si>
    <t>Widada</t>
  </si>
  <si>
    <t>Ranto</t>
  </si>
  <si>
    <t>Suparjo</t>
  </si>
  <si>
    <t>Ayeman</t>
  </si>
  <si>
    <t>Jatangan</t>
  </si>
  <si>
    <t>Ngatini</t>
  </si>
  <si>
    <t>Sunardi</t>
  </si>
  <si>
    <t>POPI BPP Kec. Balet</t>
  </si>
  <si>
    <t>Krisdiyanto A</t>
  </si>
  <si>
    <t>Paijan</t>
  </si>
  <si>
    <t>Muhson Bukhori</t>
  </si>
  <si>
    <t>Sumarna</t>
  </si>
  <si>
    <t>Retno Uni N</t>
  </si>
  <si>
    <t>Budi Sulistyo</t>
  </si>
  <si>
    <t>Agus Purwanto</t>
  </si>
  <si>
    <t>Suprihanto</t>
  </si>
  <si>
    <t>Salimin</t>
  </si>
  <si>
    <t>Suyana</t>
  </si>
  <si>
    <t>Andri W</t>
  </si>
  <si>
    <t>Kades</t>
  </si>
  <si>
    <t>12 Mei Pelatihan SRP - Jarwo</t>
  </si>
  <si>
    <t>Muji Rahayu</t>
  </si>
  <si>
    <t>Margo RukunI</t>
  </si>
  <si>
    <t>Harni</t>
  </si>
  <si>
    <t>Kariyem</t>
  </si>
  <si>
    <t>Suginem</t>
  </si>
  <si>
    <t>Ayuk Parmawati</t>
  </si>
  <si>
    <t>Andrian</t>
  </si>
  <si>
    <t>Suroso</t>
  </si>
  <si>
    <t>Margo Rukun 1</t>
  </si>
  <si>
    <t>Mujiyono</t>
  </si>
  <si>
    <t>Karji</t>
  </si>
  <si>
    <t>Suliyono</t>
  </si>
  <si>
    <t>Sugiyono</t>
  </si>
  <si>
    <t>Nafika Istari</t>
  </si>
  <si>
    <t>Rustam</t>
  </si>
  <si>
    <t>13 Mei 2026</t>
  </si>
  <si>
    <t>Bedjo</t>
  </si>
  <si>
    <t>Daliman</t>
  </si>
  <si>
    <t>Loso</t>
  </si>
  <si>
    <t>Ngudi Subur</t>
  </si>
  <si>
    <t>Wasirin</t>
  </si>
  <si>
    <t>Parman</t>
  </si>
  <si>
    <t>Amprim</t>
  </si>
  <si>
    <t>Misranto</t>
  </si>
  <si>
    <t>Aminoto</t>
  </si>
  <si>
    <t>Basiran</t>
  </si>
  <si>
    <t>Jamal</t>
  </si>
  <si>
    <t>Wati</t>
  </si>
  <si>
    <t>Suyani</t>
  </si>
  <si>
    <t>Ngadeno</t>
  </si>
  <si>
    <t>Sarni</t>
  </si>
  <si>
    <t>Abdul Tholib</t>
  </si>
  <si>
    <t>Muklas</t>
  </si>
  <si>
    <t>Misnan</t>
  </si>
  <si>
    <t>Juwarno Ahmad</t>
  </si>
  <si>
    <t>Winaryo</t>
  </si>
  <si>
    <t>Sutono</t>
  </si>
  <si>
    <t>M. Nur</t>
  </si>
  <si>
    <t>Sabihis</t>
  </si>
  <si>
    <t xml:space="preserve">10 Mei Pelatihan SRP </t>
  </si>
  <si>
    <t>Maemunah</t>
  </si>
  <si>
    <t>Ngudi Rejeki</t>
  </si>
  <si>
    <t>Babinsa</t>
  </si>
  <si>
    <t>Nguri Subur</t>
  </si>
  <si>
    <t>M. Ihsanudin</t>
  </si>
  <si>
    <t>Muslih</t>
  </si>
  <si>
    <t>Mutholib</t>
  </si>
  <si>
    <t>Sujiyati</t>
  </si>
  <si>
    <t>Sri Sumah</t>
  </si>
  <si>
    <t>Muklis</t>
  </si>
  <si>
    <t>Dulwarji</t>
  </si>
  <si>
    <t>Nagatmini</t>
  </si>
  <si>
    <t>Ngatono</t>
  </si>
  <si>
    <t>Wardi</t>
  </si>
  <si>
    <t>Tariwetan</t>
  </si>
  <si>
    <t>6 Mei 26</t>
  </si>
  <si>
    <t>Jujuk</t>
  </si>
  <si>
    <t>Suwarti</t>
  </si>
  <si>
    <t>Saritani</t>
  </si>
  <si>
    <t>Wiwik Yuni Astuti</t>
  </si>
  <si>
    <t>Bangudono</t>
  </si>
  <si>
    <t>Anita P</t>
  </si>
  <si>
    <t>Siti Zubaidah</t>
  </si>
  <si>
    <t>Sutarti</t>
  </si>
  <si>
    <t>Hasan</t>
  </si>
  <si>
    <t>Rejosari</t>
  </si>
  <si>
    <t>Rejo Santoso</t>
  </si>
  <si>
    <t>Ninik</t>
  </si>
  <si>
    <t>Rini Rahayu</t>
  </si>
  <si>
    <t>Nurti Ambaryani</t>
  </si>
  <si>
    <t xml:space="preserve">Galih </t>
  </si>
  <si>
    <t>Gundi</t>
  </si>
  <si>
    <t>Selamet</t>
  </si>
  <si>
    <t>Pengairan</t>
  </si>
  <si>
    <t>Sudali</t>
  </si>
  <si>
    <t>Parmin</t>
  </si>
  <si>
    <t>Anita Purwandani</t>
  </si>
  <si>
    <t>BPP Banyudono</t>
  </si>
  <si>
    <t>Wiwik Yuni A</t>
  </si>
  <si>
    <t>Yulianto</t>
  </si>
  <si>
    <t>Wiryo</t>
  </si>
  <si>
    <t>Kembang Tani</t>
  </si>
  <si>
    <t>Suraji</t>
  </si>
  <si>
    <t>Parno</t>
  </si>
  <si>
    <t>Mario</t>
  </si>
  <si>
    <t>Dalmadi</t>
  </si>
  <si>
    <t>Trayu</t>
  </si>
  <si>
    <t>Bambang</t>
  </si>
  <si>
    <t>Yusuf M</t>
  </si>
  <si>
    <t>Kasiman</t>
  </si>
  <si>
    <t>Sanggrahan</t>
  </si>
  <si>
    <t>Tono</t>
  </si>
  <si>
    <t>Rajiman</t>
  </si>
  <si>
    <t>Bibit Harjo</t>
  </si>
  <si>
    <t>Dalmamin</t>
  </si>
  <si>
    <t>Wagiman</t>
  </si>
  <si>
    <t>Wiro Sudarmo</t>
  </si>
  <si>
    <t>Setriyana</t>
  </si>
  <si>
    <t>Ag. Suyadi</t>
  </si>
  <si>
    <t>Atmo Wirejo</t>
  </si>
  <si>
    <t>Tompen</t>
  </si>
  <si>
    <t>Gabaran</t>
  </si>
  <si>
    <t>Perpabi</t>
  </si>
  <si>
    <t>Manukan</t>
  </si>
  <si>
    <t>Nuradin</t>
  </si>
  <si>
    <t>Bejonyono</t>
  </si>
  <si>
    <t>Pemdes</t>
  </si>
  <si>
    <t>Petani</t>
  </si>
  <si>
    <t>Desa</t>
  </si>
  <si>
    <t>Karangmalang</t>
  </si>
  <si>
    <t>Agus Anggoro</t>
  </si>
  <si>
    <t xml:space="preserve">Bangak </t>
  </si>
  <si>
    <t xml:space="preserve">Sumber </t>
  </si>
  <si>
    <t xml:space="preserve">Jotangan </t>
  </si>
  <si>
    <t>Geneng</t>
  </si>
  <si>
    <t>Klumutan</t>
  </si>
  <si>
    <t xml:space="preserve">SRP Training Manggis, Boyolali </t>
  </si>
  <si>
    <t>Training SRP Bangak, Boyolali</t>
  </si>
  <si>
    <t>7 Mei 26</t>
  </si>
  <si>
    <t>Training  SRP Sumber, Kec Simo Kab. Boyolali</t>
  </si>
  <si>
    <t>10 Mei 26</t>
  </si>
  <si>
    <t>Training  SRP Sukorejo Sragen</t>
  </si>
  <si>
    <t>SRP Training Kliwonan Stagen</t>
  </si>
  <si>
    <t>12 Mei 26</t>
  </si>
  <si>
    <t>Training SRP Jotangan  Klaten</t>
  </si>
  <si>
    <t>Jotangan</t>
  </si>
  <si>
    <t>Jumlah Peserta</t>
  </si>
  <si>
    <t>Rikolto 3 peserta</t>
  </si>
  <si>
    <t>Gapotan Golah</t>
  </si>
  <si>
    <t>Rikolto 1 peserta</t>
  </si>
  <si>
    <t>Rikolto 2 peserta</t>
  </si>
  <si>
    <t xml:space="preserve">Kab </t>
  </si>
  <si>
    <t xml:space="preserve">Sragen </t>
  </si>
  <si>
    <t xml:space="preserve">Sukorejo </t>
  </si>
  <si>
    <t>Tawangrejo</t>
  </si>
  <si>
    <t>Karno</t>
  </si>
  <si>
    <t>-</t>
  </si>
  <si>
    <t>Gunadi</t>
  </si>
  <si>
    <t>Mbruwok Makmur</t>
  </si>
  <si>
    <t>Sukardiono</t>
  </si>
  <si>
    <t>Wisnu TM</t>
  </si>
  <si>
    <t>Damanto</t>
  </si>
  <si>
    <t>Joko Mardi P</t>
  </si>
  <si>
    <t>Tani Rejo</t>
  </si>
  <si>
    <t>Mardi</t>
  </si>
  <si>
    <t>Anung B.</t>
  </si>
  <si>
    <t>Priyono</t>
  </si>
  <si>
    <t>Yanto</t>
  </si>
  <si>
    <t>Yuni Astuti</t>
  </si>
  <si>
    <t>Mekar Sari</t>
  </si>
  <si>
    <t>Gunawan</t>
  </si>
  <si>
    <t>Puryanto</t>
  </si>
  <si>
    <t>Wanda S.N</t>
  </si>
  <si>
    <t>Utomo</t>
  </si>
  <si>
    <t>Eko Supriyono</t>
  </si>
  <si>
    <t>Andika P.</t>
  </si>
  <si>
    <t>Juri</t>
  </si>
  <si>
    <t>Marto</t>
  </si>
  <si>
    <t>No HP</t>
  </si>
  <si>
    <t>Training SRP Klumutan Madiun</t>
  </si>
  <si>
    <t>19 Mei 26</t>
  </si>
  <si>
    <t>Dani Anibya</t>
  </si>
  <si>
    <t>Kader Madiun</t>
  </si>
  <si>
    <t>Suntari</t>
  </si>
  <si>
    <t>Mariadi</t>
  </si>
  <si>
    <t>Rudy Ristanto</t>
  </si>
  <si>
    <t>Mariyono</t>
  </si>
  <si>
    <t>Gunawan N</t>
  </si>
  <si>
    <t>KWT Larasati</t>
  </si>
  <si>
    <t>28 Mei 26</t>
  </si>
  <si>
    <t>0877 4313 5954</t>
  </si>
  <si>
    <t>0853-2566-6400</t>
  </si>
  <si>
    <t>0817 254 751</t>
  </si>
  <si>
    <t>0857 7537 3669</t>
  </si>
  <si>
    <t>082138504994</t>
  </si>
  <si>
    <t>0857 0173 1107</t>
  </si>
  <si>
    <t xml:space="preserve">0812 27135 279 </t>
  </si>
  <si>
    <t>0831 9044 6227</t>
  </si>
  <si>
    <t>081 3396 8239</t>
  </si>
  <si>
    <t>0813 2866 8911</t>
  </si>
  <si>
    <t>0822 2083 3137</t>
  </si>
  <si>
    <t>0822 4133 0659</t>
  </si>
  <si>
    <t>0819 12566 318</t>
  </si>
  <si>
    <t>0878 7984 7546</t>
  </si>
  <si>
    <t>0823 2252 5206</t>
  </si>
  <si>
    <t>0877-7232-6858</t>
  </si>
  <si>
    <t>Hari J</t>
  </si>
  <si>
    <t>Sriyanto</t>
  </si>
  <si>
    <t>0822 9608 5223</t>
  </si>
  <si>
    <t>Ngadi</t>
  </si>
  <si>
    <t>Nawik</t>
  </si>
  <si>
    <t>Gimanto</t>
  </si>
  <si>
    <t>085727226473</t>
  </si>
  <si>
    <t>0822 4238 8023</t>
  </si>
  <si>
    <t>Training SRP</t>
  </si>
  <si>
    <t>Non petani</t>
  </si>
  <si>
    <t>Capaian petani</t>
  </si>
  <si>
    <t>TrainingSRP</t>
  </si>
  <si>
    <t>NoHP</t>
  </si>
  <si>
    <t>Petani peserta training tdk ikut SL</t>
  </si>
  <si>
    <t>Overlay dengan SL</t>
  </si>
  <si>
    <t>Kader</t>
  </si>
  <si>
    <t>Sutarmin</t>
  </si>
  <si>
    <t>Danang Tri W.</t>
  </si>
  <si>
    <t>Kedusan</t>
  </si>
  <si>
    <t>Sarjono</t>
  </si>
  <si>
    <t>Ngemplak</t>
  </si>
  <si>
    <t>Sunarto</t>
  </si>
  <si>
    <t>PPL Karangmalang</t>
  </si>
  <si>
    <t>Ketonggo</t>
  </si>
  <si>
    <t>Sastro W</t>
  </si>
  <si>
    <t>Mursini</t>
  </si>
  <si>
    <t>Tukiman</t>
  </si>
  <si>
    <t>Sutiman</t>
  </si>
  <si>
    <t>Darmingsih</t>
  </si>
  <si>
    <t>Ika</t>
  </si>
  <si>
    <t>Tanggung</t>
  </si>
  <si>
    <t>Jumari</t>
  </si>
  <si>
    <t>Makmur 2</t>
  </si>
  <si>
    <t>Joyo</t>
  </si>
  <si>
    <t>Giyadi</t>
  </si>
  <si>
    <t>Tugiman</t>
  </si>
  <si>
    <t>Mursidi</t>
  </si>
  <si>
    <t>Giyono</t>
  </si>
  <si>
    <t>Jagosutrisno</t>
  </si>
  <si>
    <t>PPL Kab. Sragen</t>
  </si>
  <si>
    <t>Makmur 3</t>
  </si>
  <si>
    <t>Surami</t>
  </si>
  <si>
    <t>Sarman</t>
  </si>
  <si>
    <t>Jumbadi</t>
  </si>
  <si>
    <t>Sarimin</t>
  </si>
  <si>
    <t>Sutrisno</t>
  </si>
  <si>
    <t>Usaha Mulya</t>
  </si>
  <si>
    <t>Sularyo</t>
  </si>
  <si>
    <t>Sutarno</t>
  </si>
  <si>
    <t>Sarwono</t>
  </si>
  <si>
    <t>Makmur 1</t>
  </si>
  <si>
    <t>Giyanto</t>
  </si>
  <si>
    <t>Suyoto</t>
  </si>
  <si>
    <t>Joko Waluyo</t>
  </si>
  <si>
    <t>Lurah</t>
  </si>
  <si>
    <t>Azis</t>
  </si>
  <si>
    <t>Hariyono</t>
  </si>
  <si>
    <t>Rukun Makmur</t>
  </si>
  <si>
    <t>Suyatno</t>
  </si>
  <si>
    <t>Nursamudin</t>
  </si>
  <si>
    <t>Sido Mulyo</t>
  </si>
  <si>
    <t>Ibnu P.</t>
  </si>
  <si>
    <t>Sejahtera</t>
  </si>
  <si>
    <t>Kaseri</t>
  </si>
  <si>
    <t>Margo Tani</t>
  </si>
  <si>
    <t>Suharto</t>
  </si>
  <si>
    <t>Sarijan</t>
  </si>
  <si>
    <t>Purnomo</t>
  </si>
  <si>
    <t>Warsono</t>
  </si>
  <si>
    <t>Nuri</t>
  </si>
  <si>
    <t>Tunas Makmur</t>
  </si>
  <si>
    <t>Kateno</t>
  </si>
  <si>
    <t>Sukarni</t>
  </si>
  <si>
    <t>Sukirno</t>
  </si>
  <si>
    <t>Budi Siswanto</t>
  </si>
  <si>
    <t>Suwandi</t>
  </si>
  <si>
    <t>Adi Suyitno</t>
  </si>
  <si>
    <t>Sukadi</t>
  </si>
  <si>
    <t>Jono</t>
  </si>
  <si>
    <t>Pardi</t>
  </si>
  <si>
    <t>Endang</t>
  </si>
  <si>
    <t>Sukarti</t>
  </si>
  <si>
    <t>Gainem</t>
  </si>
  <si>
    <t>Warih</t>
  </si>
  <si>
    <t>Sukarno</t>
  </si>
  <si>
    <t>Heriyanto</t>
  </si>
  <si>
    <t>Arjoun</t>
  </si>
  <si>
    <t>Hadi Sukarno</t>
  </si>
  <si>
    <t>Bonadi</t>
  </si>
  <si>
    <t>Romdhoni</t>
  </si>
  <si>
    <t>SRP Training Geneng,Ngawi</t>
  </si>
  <si>
    <t>SRP Karangmalang, Sragen</t>
  </si>
  <si>
    <t>2025-2026</t>
  </si>
  <si>
    <t>SL 2026</t>
  </si>
  <si>
    <t>Gap</t>
  </si>
  <si>
    <t>Priono</t>
  </si>
  <si>
    <t>Gunawan A</t>
  </si>
  <si>
    <t>Kardiono</t>
  </si>
  <si>
    <t>Darminto</t>
  </si>
  <si>
    <t>Wanda S. N</t>
  </si>
  <si>
    <t>Gunawan Nursiyanti</t>
  </si>
  <si>
    <t>Marno</t>
  </si>
  <si>
    <t>Rudy Ristatno</t>
  </si>
  <si>
    <t>Anung B</t>
  </si>
  <si>
    <t>Munadi</t>
  </si>
  <si>
    <t>Pradana R. P.</t>
  </si>
  <si>
    <t>Rahayu Jama R</t>
  </si>
  <si>
    <t>Lilik Khoirul Rahmawati, SP</t>
  </si>
  <si>
    <t>Yasminiar Sambayu, SP</t>
  </si>
  <si>
    <t>Devi Febriana P., SP</t>
  </si>
  <si>
    <t>Fitria Era P., SP</t>
  </si>
  <si>
    <t>Yuningsih, SP</t>
  </si>
  <si>
    <t>Darul Arasya</t>
  </si>
  <si>
    <t>Bruwok Makmur</t>
  </si>
  <si>
    <t>POPT</t>
  </si>
  <si>
    <t>Sama/dibawah 35 tahun</t>
  </si>
  <si>
    <t>Kecamatan</t>
  </si>
  <si>
    <t>Mojosongo</t>
  </si>
  <si>
    <t>Sambirejo</t>
  </si>
  <si>
    <t>Masaran</t>
  </si>
  <si>
    <t>Bayat</t>
  </si>
  <si>
    <t>Saradan</t>
  </si>
  <si>
    <t>Tambahan</t>
  </si>
  <si>
    <t>Warisa</t>
  </si>
  <si>
    <t>Parlan</t>
  </si>
  <si>
    <t>Marjono</t>
  </si>
  <si>
    <t>Tumini</t>
  </si>
  <si>
    <t>Gati</t>
  </si>
  <si>
    <t>Hartati</t>
  </si>
  <si>
    <t>Suparna</t>
  </si>
  <si>
    <t>Suratno S.</t>
  </si>
  <si>
    <t>Retno Umi N</t>
  </si>
  <si>
    <t>PPL / BPP Bayat</t>
  </si>
  <si>
    <t>Krisdiyanto A.</t>
  </si>
  <si>
    <t>POPT / BPP Bayat</t>
  </si>
  <si>
    <t>BPP Bayat</t>
  </si>
  <si>
    <t>Erwan</t>
  </si>
  <si>
    <t>Makmur sari</t>
  </si>
  <si>
    <t>Sukiran</t>
  </si>
  <si>
    <t>M. Bahrudin</t>
  </si>
  <si>
    <t>Budi Sulistiyo</t>
  </si>
  <si>
    <t>Training</t>
  </si>
  <si>
    <t>Erwanto</t>
  </si>
  <si>
    <t>Andik P</t>
  </si>
  <si>
    <t>Darmanto</t>
  </si>
  <si>
    <t>Tri Harto</t>
  </si>
  <si>
    <t>Joko Wardi R</t>
  </si>
  <si>
    <t>Anang</t>
  </si>
  <si>
    <t>Narto</t>
  </si>
  <si>
    <t>Mbrowok Makmur</t>
  </si>
  <si>
    <t>Muhson Burhadi</t>
  </si>
  <si>
    <t>Wigati</t>
  </si>
  <si>
    <t>Suranto</t>
  </si>
  <si>
    <t>Suratno A</t>
  </si>
  <si>
    <t>Sukiman</t>
  </si>
  <si>
    <t>Syaiful</t>
  </si>
  <si>
    <t>Rahmat</t>
  </si>
  <si>
    <t>Ken Ari</t>
  </si>
  <si>
    <t>Arifah</t>
  </si>
  <si>
    <t>Muhyadi</t>
  </si>
  <si>
    <t>Pogung</t>
  </si>
  <si>
    <t>Sri Sudarmi</t>
  </si>
  <si>
    <t>Brengkungan</t>
  </si>
  <si>
    <t>Sri Widadi</t>
  </si>
  <si>
    <t>Soka Alas</t>
  </si>
  <si>
    <t>Semi Rahayu</t>
  </si>
  <si>
    <t>Sri Tentrem</t>
  </si>
  <si>
    <t>Tukmini</t>
  </si>
  <si>
    <t>Ngalihan</t>
  </si>
  <si>
    <t>Wiji</t>
  </si>
  <si>
    <t>Tegal</t>
  </si>
  <si>
    <t>Sugitto</t>
  </si>
  <si>
    <t>Marmo</t>
  </si>
  <si>
    <t>Limhar</t>
  </si>
  <si>
    <t>Niten</t>
  </si>
  <si>
    <t>Priyomulyono</t>
  </si>
  <si>
    <t>Gito Andik</t>
  </si>
  <si>
    <t>Tukimin Abdul</t>
  </si>
  <si>
    <t>Darso</t>
  </si>
  <si>
    <t>Tri Wahyono</t>
  </si>
  <si>
    <t>Pogung Cilik</t>
  </si>
  <si>
    <t>Pogung Gede</t>
  </si>
  <si>
    <t>Wahyono</t>
  </si>
  <si>
    <t>Tegal Kalesan</t>
  </si>
  <si>
    <t>Priyo Tukimin</t>
  </si>
  <si>
    <t>Dwi Supanto</t>
  </si>
  <si>
    <t>Sawiji</t>
  </si>
  <si>
    <t>Perangkat Desa</t>
  </si>
  <si>
    <t>Handrimo</t>
  </si>
  <si>
    <t>Perangkat</t>
  </si>
  <si>
    <t>Suyata</t>
  </si>
  <si>
    <t>Agus bin atta</t>
  </si>
  <si>
    <t>Wantini</t>
  </si>
  <si>
    <t>Anggit</t>
  </si>
  <si>
    <t>Sekdes</t>
  </si>
  <si>
    <t>Tukimin</t>
  </si>
  <si>
    <t>Jitengan</t>
  </si>
  <si>
    <t>Ratih</t>
  </si>
  <si>
    <t>Training SRP Pogung Klaten</t>
  </si>
  <si>
    <t>Mojo</t>
  </si>
  <si>
    <t>Usaha Makmur I</t>
  </si>
  <si>
    <t>Usaha Makmur  2</t>
  </si>
  <si>
    <t>Kelik Purnomo</t>
  </si>
  <si>
    <t>Usaha Makmur 2</t>
  </si>
  <si>
    <t>Sumber Makmur</t>
  </si>
  <si>
    <t>Nurrohim</t>
  </si>
  <si>
    <t>Jati Mulya</t>
  </si>
  <si>
    <t>Mitro</t>
  </si>
  <si>
    <t>Usaha Makmur 1</t>
  </si>
  <si>
    <t>Berkah</t>
  </si>
  <si>
    <t>Mulyadi</t>
  </si>
  <si>
    <t>Asri Sari 3</t>
  </si>
  <si>
    <t>Asri Sari 2</t>
  </si>
  <si>
    <t>Usaha Makmur</t>
  </si>
  <si>
    <t>Saryani</t>
  </si>
  <si>
    <t>Darti</t>
  </si>
  <si>
    <t>Istiqomah</t>
  </si>
  <si>
    <t>Warni</t>
  </si>
  <si>
    <t>St. Karyatin</t>
  </si>
  <si>
    <t>Ngardi P.</t>
  </si>
  <si>
    <t>Muhdi</t>
  </si>
  <si>
    <t>Andong</t>
  </si>
  <si>
    <t>Purdi</t>
  </si>
  <si>
    <t>Joko Widodo</t>
  </si>
  <si>
    <t>M. Baidlowi M</t>
  </si>
  <si>
    <t>Yatmo</t>
  </si>
  <si>
    <t>A. Imroni</t>
  </si>
  <si>
    <t>Sujud H.</t>
  </si>
  <si>
    <t>Ngatno</t>
  </si>
  <si>
    <t>Ismadi</t>
  </si>
  <si>
    <t>Tarmin</t>
  </si>
  <si>
    <t>Jati Mulyo</t>
  </si>
  <si>
    <t>Supatmi</t>
  </si>
  <si>
    <t>Kuat Maryono</t>
  </si>
  <si>
    <t>Choirudin</t>
  </si>
  <si>
    <t>Warji</t>
  </si>
  <si>
    <t>Ngaidi R</t>
  </si>
  <si>
    <t>Burdi</t>
  </si>
  <si>
    <t>Triyono</t>
  </si>
  <si>
    <t>Senen</t>
  </si>
  <si>
    <t>Tani Mulyo</t>
  </si>
  <si>
    <t>Slamet</t>
  </si>
  <si>
    <t>PPL Bayat</t>
  </si>
  <si>
    <t>KWT Bayat</t>
  </si>
  <si>
    <t>Muhson Burhani</t>
  </si>
  <si>
    <t>Maksum</t>
  </si>
  <si>
    <t>Sudiman</t>
  </si>
  <si>
    <t>Taryana</t>
  </si>
  <si>
    <t>Suyadi D.G.</t>
  </si>
  <si>
    <t>Sedyo Mulyo</t>
  </si>
  <si>
    <t>Lamta</t>
  </si>
  <si>
    <t>S. Darya</t>
  </si>
  <si>
    <t>Maryana</t>
  </si>
  <si>
    <t>Sumar</t>
  </si>
  <si>
    <t>Saliman</t>
  </si>
  <si>
    <t>Wito</t>
  </si>
  <si>
    <t>Nyata</t>
  </si>
  <si>
    <t>Harda</t>
  </si>
  <si>
    <t>Bagiyo</t>
  </si>
  <si>
    <t>Sunarno</t>
  </si>
  <si>
    <t>Arus Purwanto</t>
  </si>
  <si>
    <t>Kasiyem</t>
  </si>
  <si>
    <t>Ngadimin</t>
  </si>
  <si>
    <t>Sri  Rejeki</t>
  </si>
  <si>
    <t xml:space="preserve">Wandi </t>
  </si>
  <si>
    <t>Sugito</t>
  </si>
  <si>
    <t>Lagiyem</t>
  </si>
  <si>
    <t>Irub</t>
  </si>
  <si>
    <t>Warsini</t>
  </si>
  <si>
    <t>Suwarni</t>
  </si>
  <si>
    <t>Tentrem</t>
  </si>
  <si>
    <t>Sri R Ejeki</t>
  </si>
  <si>
    <t>Samino</t>
  </si>
  <si>
    <t>Ngadino</t>
  </si>
  <si>
    <t>Sudilar</t>
  </si>
  <si>
    <t>Dukuh</t>
  </si>
  <si>
    <t>Jumini</t>
  </si>
  <si>
    <t>Bogoran</t>
  </si>
  <si>
    <t>Adila</t>
  </si>
  <si>
    <t>Humadya</t>
  </si>
  <si>
    <t>DKPP UGM</t>
  </si>
  <si>
    <t>Siswo</t>
  </si>
  <si>
    <t>Patri D</t>
  </si>
  <si>
    <t>Suryanto</t>
  </si>
  <si>
    <t>Hafizh M</t>
  </si>
  <si>
    <t>Preferred by Nature</t>
  </si>
  <si>
    <t>Mubiman</t>
  </si>
  <si>
    <t>Ahmad Adhi Jatamko</t>
  </si>
  <si>
    <t>Purwono Y</t>
  </si>
  <si>
    <t>BPP Saradan</t>
  </si>
  <si>
    <t>KRKP</t>
  </si>
  <si>
    <t>Rudy Risianto</t>
  </si>
  <si>
    <t>POPT BPP Barat</t>
  </si>
  <si>
    <t>Agung S</t>
  </si>
  <si>
    <t>Sulardi</t>
  </si>
  <si>
    <t>Tauni</t>
  </si>
  <si>
    <t>KWT Sakinah</t>
  </si>
  <si>
    <t>Bahrudin</t>
  </si>
  <si>
    <t>Parjiyati</t>
  </si>
  <si>
    <t>Muhson B</t>
  </si>
  <si>
    <t>Widayatmi</t>
  </si>
  <si>
    <t>Mulya Makmur</t>
  </si>
  <si>
    <t>Suparlan</t>
  </si>
  <si>
    <t>Suramto</t>
  </si>
  <si>
    <t>Satimin</t>
  </si>
  <si>
    <t>Supri Yanto</t>
  </si>
  <si>
    <t>Samina</t>
  </si>
  <si>
    <t>Sutinem</t>
  </si>
  <si>
    <t>Harbini S.</t>
  </si>
  <si>
    <t>Giyem</t>
  </si>
  <si>
    <t>Sucipto</t>
  </si>
  <si>
    <t>Sagimin</t>
  </si>
  <si>
    <t>Dalimin</t>
  </si>
  <si>
    <t>Saginoto Prayitno</t>
  </si>
  <si>
    <t>Suwanto</t>
  </si>
  <si>
    <t>Gagatan</t>
  </si>
  <si>
    <t>Jarminto</t>
  </si>
  <si>
    <t>KTNA RN</t>
  </si>
  <si>
    <t>KTNA Sri Mulyo</t>
  </si>
  <si>
    <t>Heri Suparmanto</t>
  </si>
  <si>
    <t>Margo Mulyo</t>
  </si>
  <si>
    <t>Paniran</t>
  </si>
  <si>
    <t>Margo Prastyo</t>
  </si>
  <si>
    <t>Priani</t>
  </si>
  <si>
    <t>Margo Rahayu</t>
  </si>
  <si>
    <t>Amirah</t>
  </si>
  <si>
    <t>Watini</t>
  </si>
  <si>
    <t>Margo Sari</t>
  </si>
  <si>
    <t>Widyawati</t>
  </si>
  <si>
    <t>Margo Utomo</t>
  </si>
  <si>
    <t>Sundari</t>
  </si>
  <si>
    <t>Priyati</t>
  </si>
  <si>
    <t>Djoko Sumi</t>
  </si>
  <si>
    <t>Margo Baru</t>
  </si>
  <si>
    <t>Salam Haryono</t>
  </si>
  <si>
    <t>Subari</t>
  </si>
  <si>
    <t>Taman</t>
  </si>
  <si>
    <t>Sutaji</t>
  </si>
  <si>
    <t>Irkam</t>
  </si>
  <si>
    <t>Margo Kaloko</t>
  </si>
  <si>
    <t>Munjari</t>
  </si>
  <si>
    <t>Marsono</t>
  </si>
  <si>
    <t>Ciman</t>
  </si>
  <si>
    <t>Giman</t>
  </si>
  <si>
    <t>Joko</t>
  </si>
  <si>
    <t>Barmotamin</t>
  </si>
  <si>
    <t>Sumiran</t>
  </si>
  <si>
    <t>Nyaman</t>
  </si>
  <si>
    <t>Suwito</t>
  </si>
  <si>
    <t>Harjo Jamin</t>
  </si>
  <si>
    <t>Suyitno</t>
  </si>
  <si>
    <t>Sigit Raharjo</t>
  </si>
  <si>
    <t>Wiko S.</t>
  </si>
  <si>
    <t>Sugihwaras</t>
  </si>
  <si>
    <t>Training SRP  Tawangrejo Klaten,16 Jul</t>
  </si>
  <si>
    <t>Training SRP  Sugihwaras Madiun,21 Jul</t>
  </si>
  <si>
    <t>Nurhayati</t>
  </si>
  <si>
    <t>Painem</t>
  </si>
  <si>
    <t>Sambirobyong</t>
  </si>
  <si>
    <t>Nurhadi</t>
  </si>
  <si>
    <t>Hadi Sukatno</t>
  </si>
  <si>
    <t>Gito</t>
  </si>
  <si>
    <t>Ida Rusmala Dewi</t>
  </si>
  <si>
    <t>BPP Geneng</t>
  </si>
  <si>
    <t>HP</t>
  </si>
  <si>
    <t>Krisdiyanto H.</t>
  </si>
  <si>
    <t>Sarahita</t>
  </si>
  <si>
    <t>POPT BPP Bayat</t>
  </si>
  <si>
    <t>Ngesti Rejeki</t>
  </si>
  <si>
    <t>Pojok</t>
  </si>
  <si>
    <t>Golek Uppo</t>
  </si>
  <si>
    <t>Beji</t>
  </si>
  <si>
    <t>Nafikoh</t>
  </si>
  <si>
    <t>Agung Sedayu</t>
  </si>
  <si>
    <t>Lestari Mulyo</t>
  </si>
  <si>
    <t>Nogosari</t>
  </si>
  <si>
    <t>Darman</t>
  </si>
  <si>
    <t>Mardani</t>
  </si>
  <si>
    <t>Mulyanto</t>
  </si>
  <si>
    <t>Mursito Erwin</t>
  </si>
  <si>
    <t>Rohmad</t>
  </si>
  <si>
    <t>Rubadi</t>
  </si>
  <si>
    <t>Samsul Hadi</t>
  </si>
  <si>
    <t>Slamet A</t>
  </si>
  <si>
    <t>Slamet B</t>
  </si>
  <si>
    <t>Sumarsono</t>
  </si>
  <si>
    <t>Suparwan</t>
  </si>
  <si>
    <t>Sutarta</t>
  </si>
  <si>
    <t>Misno</t>
  </si>
  <si>
    <t>Ngatinem</t>
  </si>
  <si>
    <t>Ony Nugraha</t>
  </si>
  <si>
    <t>Sugiyati</t>
  </si>
  <si>
    <t>Suparman</t>
  </si>
  <si>
    <t>Kusmin</t>
  </si>
  <si>
    <t>Raharjo</t>
  </si>
  <si>
    <t>Kemis</t>
  </si>
  <si>
    <t>Taryono</t>
  </si>
  <si>
    <t>Kismur Zafiatun</t>
  </si>
  <si>
    <t>Jumijan</t>
  </si>
  <si>
    <t>Rabiyem</t>
  </si>
  <si>
    <t>Suyatmi</t>
  </si>
  <si>
    <t>Nanik Widayati</t>
  </si>
  <si>
    <t>Pijiyatmi</t>
  </si>
  <si>
    <t>Fatonah</t>
  </si>
  <si>
    <t>Marimin</t>
  </si>
  <si>
    <t>Rujiyem</t>
  </si>
  <si>
    <t>Margiyanti</t>
  </si>
  <si>
    <t>Narti</t>
  </si>
  <si>
    <t>Sumiyem</t>
  </si>
  <si>
    <t>Ginah</t>
  </si>
  <si>
    <t>Sumiyatun</t>
  </si>
  <si>
    <t>Murdiyati</t>
  </si>
  <si>
    <t>Atmini</t>
  </si>
  <si>
    <t>Kalinem</t>
  </si>
  <si>
    <t>Semi</t>
  </si>
  <si>
    <t>Maryono</t>
  </si>
  <si>
    <t>Heriman</t>
  </si>
  <si>
    <t>Kaliman</t>
  </si>
  <si>
    <t>Tukirin</t>
  </si>
  <si>
    <t>Sarti</t>
  </si>
  <si>
    <t>Warikem</t>
  </si>
  <si>
    <t>Sugimin</t>
  </si>
  <si>
    <t>Lasmi. B</t>
  </si>
  <si>
    <t>Wagimin</t>
  </si>
  <si>
    <t>Parti</t>
  </si>
  <si>
    <t>Suyati</t>
  </si>
  <si>
    <t>Sulis</t>
  </si>
  <si>
    <t>Ambarwati</t>
  </si>
  <si>
    <t>Wahyuni</t>
  </si>
  <si>
    <t>Kusrini</t>
  </si>
  <si>
    <t>Srikanti</t>
  </si>
  <si>
    <t>Supiah</t>
  </si>
  <si>
    <t>Darmini</t>
  </si>
  <si>
    <t>Surip</t>
  </si>
  <si>
    <t>Ngatfianah</t>
  </si>
  <si>
    <t>Nuryati</t>
  </si>
  <si>
    <t>Lasmi. 07</t>
  </si>
  <si>
    <t>Partinah</t>
  </si>
  <si>
    <t>Adi Prayitno</t>
  </si>
  <si>
    <t>Partini</t>
  </si>
  <si>
    <t>Surati</t>
  </si>
  <si>
    <t>Rukini</t>
  </si>
  <si>
    <t>Wagiyem</t>
  </si>
  <si>
    <t>Parsiyem</t>
  </si>
  <si>
    <t>Wasti</t>
  </si>
  <si>
    <t>Insiah</t>
  </si>
  <si>
    <t>Mulyani</t>
  </si>
  <si>
    <t>Mutmainah</t>
  </si>
  <si>
    <t>Siti Sholikah</t>
  </si>
  <si>
    <t>Ngairah</t>
  </si>
  <si>
    <t>Sariko</t>
  </si>
  <si>
    <t>Mbah Rebo</t>
  </si>
  <si>
    <t>Ngatno. 07</t>
  </si>
  <si>
    <t>Kasini</t>
  </si>
  <si>
    <t>Anik</t>
  </si>
  <si>
    <t>Musa Asari</t>
  </si>
  <si>
    <t>Lasmi</t>
  </si>
  <si>
    <t>Mujirun</t>
  </si>
  <si>
    <t>Agus Widodo</t>
  </si>
  <si>
    <t>Narno</t>
  </si>
  <si>
    <t>Warto</t>
  </si>
  <si>
    <t>Joko Purhadi</t>
  </si>
  <si>
    <t>Kholis</t>
  </si>
  <si>
    <t>Nanang</t>
  </si>
  <si>
    <t>Samidi</t>
  </si>
  <si>
    <t>Mustofa</t>
  </si>
  <si>
    <t>Dawam</t>
  </si>
  <si>
    <t>Heru Purwanto</t>
  </si>
  <si>
    <t>Puji Rahayu</t>
  </si>
  <si>
    <t>Maryam</t>
  </si>
  <si>
    <t>Wandi</t>
  </si>
  <si>
    <t>Ngatirin</t>
  </si>
  <si>
    <t>Pendi</t>
  </si>
  <si>
    <t>Joko Sriyanto</t>
  </si>
  <si>
    <t>Sukijo</t>
  </si>
  <si>
    <t>Paiman</t>
  </si>
  <si>
    <t>Warso</t>
  </si>
  <si>
    <t>Narsi</t>
  </si>
  <si>
    <t>Kholil</t>
  </si>
  <si>
    <t>Kaelani</t>
  </si>
  <si>
    <t>Teguh</t>
  </si>
  <si>
    <t>Zumri</t>
  </si>
  <si>
    <t>Habibi</t>
  </si>
  <si>
    <t>Gimin</t>
  </si>
  <si>
    <t>Haji Wardi</t>
  </si>
  <si>
    <t>Samidin</t>
  </si>
  <si>
    <t>Slamet Prayoga</t>
  </si>
  <si>
    <t>Sidik</t>
  </si>
  <si>
    <t>Muh Ikwani</t>
  </si>
  <si>
    <t>Yasmin</t>
  </si>
  <si>
    <t>Markum</t>
  </si>
  <si>
    <t>Sri Wahyuni</t>
  </si>
  <si>
    <t>Sri Yono</t>
  </si>
  <si>
    <t>Laman</t>
  </si>
  <si>
    <t>David Setiawan</t>
  </si>
  <si>
    <t>Darji</t>
  </si>
  <si>
    <t>Joko Winarno</t>
  </si>
  <si>
    <t>Mundakir</t>
  </si>
  <si>
    <t>Ngadiyo</t>
  </si>
  <si>
    <t>Sri Yatmi</t>
  </si>
  <si>
    <t>Juminah</t>
  </si>
  <si>
    <t>Darni</t>
  </si>
  <si>
    <t>Miswanto</t>
  </si>
  <si>
    <t>Wakidi</t>
  </si>
  <si>
    <t>Nama Petani</t>
  </si>
  <si>
    <t>Narso Painem</t>
  </si>
  <si>
    <t>Saksiani</t>
  </si>
  <si>
    <t>Rokayah</t>
  </si>
  <si>
    <t>Sugeng</t>
  </si>
  <si>
    <t>Supari</t>
  </si>
  <si>
    <t>Maskom</t>
  </si>
  <si>
    <t>Madirun</t>
  </si>
  <si>
    <t>Purwosari</t>
  </si>
  <si>
    <t>Purwasan</t>
  </si>
  <si>
    <t>Dumpel</t>
  </si>
  <si>
    <t>2 Ags 26</t>
  </si>
  <si>
    <t>3 Ags 26</t>
  </si>
  <si>
    <t>Subiyanto</t>
  </si>
  <si>
    <t>Sri Mulyo</t>
  </si>
  <si>
    <t>Rimba Makmur</t>
  </si>
  <si>
    <t>Robby</t>
  </si>
  <si>
    <t>Magang</t>
  </si>
  <si>
    <t>Sulasri</t>
  </si>
  <si>
    <t>Panlet</t>
  </si>
  <si>
    <t>Nata</t>
  </si>
  <si>
    <t>Sularto</t>
  </si>
  <si>
    <t>Edi H</t>
  </si>
  <si>
    <t>Taimi</t>
  </si>
  <si>
    <t>Ngasiran</t>
  </si>
  <si>
    <t>Pargiyati</t>
  </si>
  <si>
    <t>Jetis</t>
  </si>
  <si>
    <t>Masiyem</t>
  </si>
  <si>
    <t>Jokotuwo</t>
  </si>
  <si>
    <t>Krasak</t>
  </si>
  <si>
    <t>POPI BPP Bayat</t>
  </si>
  <si>
    <t>KTNA</t>
  </si>
  <si>
    <t>Yassinta</t>
  </si>
  <si>
    <t>Ngasinan</t>
  </si>
  <si>
    <t>Susanto</t>
  </si>
  <si>
    <t>Fina Putri</t>
  </si>
  <si>
    <t>Tiara Dewi S</t>
  </si>
  <si>
    <t>Filli Adificha S</t>
  </si>
  <si>
    <t>Bima Widyat Maka</t>
  </si>
  <si>
    <t>Agung Utomo</t>
  </si>
  <si>
    <t>Agus Budi Setiawan</t>
  </si>
  <si>
    <t>Amin</t>
  </si>
  <si>
    <t>Bambang Andik Achmadi</t>
  </si>
  <si>
    <t>Dahlan</t>
  </si>
  <si>
    <t>Darmin</t>
  </si>
  <si>
    <t>Darmono</t>
  </si>
  <si>
    <t>Darmun</t>
  </si>
  <si>
    <t>Dedy Tri Sutrisno</t>
  </si>
  <si>
    <t>Dody Trio Utomo</t>
  </si>
  <si>
    <t>Eko Budianto</t>
  </si>
  <si>
    <t>Hardjito</t>
  </si>
  <si>
    <t>Khoirul Soleh</t>
  </si>
  <si>
    <t>Paidjan</t>
  </si>
  <si>
    <t>Yahyo</t>
  </si>
  <si>
    <t>Bandiono</t>
  </si>
  <si>
    <t>Dami</t>
  </si>
  <si>
    <t>Dedi Wahyu Riyanto</t>
  </si>
  <si>
    <t>Djasman</t>
  </si>
  <si>
    <t>Djuwari</t>
  </si>
  <si>
    <t>Endang Sumarsih</t>
  </si>
  <si>
    <t>Kamiran</t>
  </si>
  <si>
    <t>Leo Alfajri</t>
  </si>
  <si>
    <t>Biyanto</t>
  </si>
  <si>
    <t>Daiman</t>
  </si>
  <si>
    <t>Darmi</t>
  </si>
  <si>
    <t>Eny Purwati</t>
  </si>
  <si>
    <t>Hadi Prayetno</t>
  </si>
  <si>
    <t>Lasidin</t>
  </si>
  <si>
    <t>Sutowo</t>
  </si>
  <si>
    <t>Tarmudji</t>
  </si>
  <si>
    <t>Adi Irawan</t>
  </si>
  <si>
    <t>Adianto</t>
  </si>
  <si>
    <t>Bari</t>
  </si>
  <si>
    <t>Bejo</t>
  </si>
  <si>
    <t>Daparianto</t>
  </si>
  <si>
    <t>Darto</t>
  </si>
  <si>
    <t>Dedy Eko Darhandono,Sp</t>
  </si>
  <si>
    <t>Hadi</t>
  </si>
  <si>
    <t>Hari Edi Arifin</t>
  </si>
  <si>
    <t>Hariyanto</t>
  </si>
  <si>
    <t>Redjo Mulyo</t>
  </si>
  <si>
    <t>Sendangrejo</t>
  </si>
  <si>
    <t>Tani Utun</t>
  </si>
  <si>
    <t>Bongsopotro</t>
  </si>
  <si>
    <t>PPLdll</t>
  </si>
  <si>
    <t>Samiyem</t>
  </si>
  <si>
    <t>Abadi</t>
  </si>
  <si>
    <t>Arif Harianto</t>
  </si>
  <si>
    <t>Owang H</t>
  </si>
  <si>
    <t>Sastro SGT</t>
  </si>
  <si>
    <t>Sukamdi</t>
  </si>
  <si>
    <t>Mujiran</t>
  </si>
  <si>
    <t>Slamet Sanjoyo</t>
  </si>
  <si>
    <t>Sri Kuncoro</t>
  </si>
  <si>
    <t>Riyadi</t>
  </si>
  <si>
    <t>Gadhing</t>
  </si>
  <si>
    <t>Yusuf</t>
  </si>
  <si>
    <t>Bayur</t>
  </si>
  <si>
    <t>Sidodadi</t>
  </si>
  <si>
    <t>Karang Malang</t>
  </si>
  <si>
    <t>Gelang</t>
  </si>
  <si>
    <t>Pengkol</t>
  </si>
  <si>
    <t>Dalangan</t>
  </si>
  <si>
    <t>2 Okt 26</t>
  </si>
  <si>
    <t>Ari Wibowo</t>
  </si>
  <si>
    <t>Purwadi</t>
  </si>
  <si>
    <t>Samsu</t>
  </si>
  <si>
    <t>Suryadi</t>
  </si>
  <si>
    <t>Suroto</t>
  </si>
  <si>
    <t>Siswandi</t>
  </si>
  <si>
    <t>Suparji</t>
  </si>
  <si>
    <t xml:space="preserve">Marsudi </t>
  </si>
  <si>
    <t>Edi T</t>
  </si>
  <si>
    <t>Sofyan M</t>
  </si>
  <si>
    <t>Yasin</t>
  </si>
  <si>
    <t>Rony S.</t>
  </si>
  <si>
    <t>Kikit</t>
  </si>
  <si>
    <t>Wigik D</t>
  </si>
  <si>
    <t>Dwi Untari</t>
  </si>
  <si>
    <t>Ipoji</t>
  </si>
  <si>
    <t>Bongsopotron</t>
  </si>
  <si>
    <t>Poktan Sidorejo</t>
  </si>
  <si>
    <t>Gapoktan Ds. Campursari</t>
  </si>
  <si>
    <t>TaniUton</t>
  </si>
  <si>
    <t>Gapoktan Sogo</t>
  </si>
  <si>
    <t>Poktan Nglerep Ds. Dempel</t>
  </si>
  <si>
    <t>Sekar Wangi</t>
  </si>
  <si>
    <t>Poktan Nglencongsari III Dempe</t>
  </si>
  <si>
    <t>Dempel Gereng</t>
  </si>
  <si>
    <t>Anik Yuliyani</t>
  </si>
  <si>
    <t>Erwan Susilo</t>
  </si>
  <si>
    <t>Darul A</t>
  </si>
  <si>
    <t>Gunawan Nurjianto</t>
  </si>
  <si>
    <t>KWT Sejahtera, Karangjati, Ngawi</t>
  </si>
  <si>
    <t>Tani Sego Makmur Madiun</t>
  </si>
  <si>
    <t>18 Ags 26</t>
  </si>
  <si>
    <t>Tatik</t>
  </si>
  <si>
    <t>30 Ju 26</t>
  </si>
  <si>
    <t>Samarna</t>
  </si>
  <si>
    <t>21 Ags 26</t>
  </si>
  <si>
    <t>Agus Suseno</t>
  </si>
  <si>
    <t>Gimin M.</t>
  </si>
  <si>
    <t>Sukotani 4, Dukuh</t>
  </si>
  <si>
    <t>Sukotani 6, Bayur</t>
  </si>
  <si>
    <t>Sukotani 2</t>
  </si>
  <si>
    <t>Non Petani</t>
  </si>
  <si>
    <t>1 Okt 26</t>
  </si>
  <si>
    <t>Sagi Noto Prayetno</t>
  </si>
  <si>
    <t>Sugiyanto</t>
  </si>
  <si>
    <t>Panut</t>
  </si>
  <si>
    <t>Sumanto</t>
  </si>
  <si>
    <t>Paujiyah</t>
  </si>
  <si>
    <t>Tarmi</t>
  </si>
  <si>
    <t>Giyan</t>
  </si>
  <si>
    <t>Retno Umi Nurtiyah</t>
  </si>
  <si>
    <t>Dynta Missy N</t>
  </si>
  <si>
    <t>Krosok</t>
  </si>
  <si>
    <t xml:space="preserve">Jokotuwo  </t>
  </si>
  <si>
    <t>Abdimulyo</t>
  </si>
  <si>
    <t>PPL BPP Bayat</t>
  </si>
  <si>
    <t>Zahwa Khoirun Nisa</t>
  </si>
  <si>
    <t>Adinda Sephan</t>
  </si>
  <si>
    <t>Ayas</t>
  </si>
  <si>
    <t>Indirect 2026</t>
  </si>
  <si>
    <t>Report SA</t>
  </si>
  <si>
    <t>Update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</si>
</sst>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%"/>
  </numFmts>
  <fonts count="39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Stencil"/>
      <family val="5"/>
    </font>
    <font>
      <sz val="11"/>
      <name val="Aptos Narrow"/>
      <family val="2"/>
      <scheme val="minor"/>
    </font>
    <font>
      <sz val="8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sz val="11"/>
      <color theme="3" tint="0.499984740745262"/>
      <name val="Aptos Narrow"/>
      <family val="2"/>
      <charset val="1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Stencil"/>
      <family val="5"/>
    </font>
    <font>
      <sz val="11"/>
      <color theme="1"/>
      <name val="Aptos Narrow"/>
      <family val="2"/>
      <charset val="1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charset val="1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1F1F1F"/>
      <name val="Arial"/>
      <family val="2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28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 vertical="top" wrapText="1"/>
    </xf>
    <xf numFmtId="0" fontId="20" fillId="0" borderId="1" xfId="0" applyFont="1" applyBorder="1" applyAlignment="1">
      <alignment horizontal="center"/>
    </xf>
    <xf numFmtId="15" fontId="20" fillId="0" borderId="1" xfId="0" applyNumberFormat="1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/>
    <xf numFmtId="0" fontId="21" fillId="0" borderId="4" xfId="0" applyFont="1" applyBorder="1"/>
    <xf numFmtId="0" fontId="0" fillId="0" borderId="2" xfId="0" applyBorder="1"/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/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25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4" fillId="0" borderId="0" xfId="0" applyFont="1"/>
    <xf numFmtId="0" fontId="27" fillId="0" borderId="0" xfId="0" applyFont="1"/>
    <xf numFmtId="43" fontId="0" fillId="0" borderId="0" xfId="1" applyFont="1"/>
    <xf numFmtId="0" fontId="30" fillId="0" borderId="0" xfId="0" applyFont="1"/>
    <xf numFmtId="43" fontId="30" fillId="0" borderId="0" xfId="1" applyFont="1"/>
    <xf numFmtId="9" fontId="0" fillId="0" borderId="0" xfId="0" applyNumberFormat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9" fontId="18" fillId="0" borderId="0" xfId="0" applyNumberFormat="1" applyFont="1"/>
    <xf numFmtId="0" fontId="31" fillId="0" borderId="0" xfId="0" applyFont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22" fontId="20" fillId="3" borderId="0" xfId="0" applyNumberFormat="1" applyFont="1" applyFill="1" applyAlignment="1">
      <alignment horizontal="left"/>
    </xf>
    <xf numFmtId="22" fontId="0" fillId="0" borderId="0" xfId="0" applyNumberFormat="1"/>
    <xf numFmtId="165" fontId="0" fillId="0" borderId="1" xfId="0" applyNumberFormat="1" applyBorder="1" applyAlignment="1">
      <alignment horizontal="center"/>
    </xf>
    <xf numFmtId="0" fontId="0" fillId="4" borderId="0" xfId="0" applyFill="1" applyAlignment="1">
      <alignment horizontal="left" wrapText="1"/>
    </xf>
    <xf numFmtId="164" fontId="30" fillId="0" borderId="0" xfId="0" applyNumberFormat="1" applyFont="1"/>
    <xf numFmtId="165" fontId="24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0" fontId="24" fillId="0" borderId="3" xfId="0" applyFont="1" applyBorder="1"/>
    <xf numFmtId="0" fontId="17" fillId="0" borderId="1" xfId="0" applyFont="1" applyBorder="1"/>
    <xf numFmtId="0" fontId="14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14" fillId="2" borderId="6" xfId="0" applyFont="1" applyFill="1" applyBorder="1"/>
    <xf numFmtId="0" fontId="14" fillId="2" borderId="0" xfId="0" applyFont="1" applyFill="1" applyAlignment="1">
      <alignment horizontal="center"/>
    </xf>
    <xf numFmtId="2" fontId="14" fillId="2" borderId="0" xfId="0" applyNumberFormat="1" applyFont="1" applyFill="1" applyAlignment="1">
      <alignment horizontal="right"/>
    </xf>
    <xf numFmtId="0" fontId="14" fillId="2" borderId="0" xfId="0" applyFont="1" applyFill="1"/>
    <xf numFmtId="0" fontId="14" fillId="0" borderId="0" xfId="0" applyFont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/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49" fontId="20" fillId="0" borderId="1" xfId="0" applyNumberFormat="1" applyFont="1" applyBorder="1"/>
    <xf numFmtId="0" fontId="20" fillId="0" borderId="0" xfId="0" applyFont="1" applyAlignment="1">
      <alignment horizontal="left"/>
    </xf>
    <xf numFmtId="15" fontId="20" fillId="0" borderId="0" xfId="0" applyNumberFormat="1" applyFont="1"/>
    <xf numFmtId="0" fontId="20" fillId="0" borderId="1" xfId="0" applyFont="1" applyBorder="1"/>
    <xf numFmtId="0" fontId="32" fillId="4" borderId="0" xfId="0" applyFont="1" applyFill="1"/>
    <xf numFmtId="0" fontId="20" fillId="2" borderId="1" xfId="0" applyFont="1" applyFill="1" applyBorder="1"/>
    <xf numFmtId="0" fontId="20" fillId="2" borderId="1" xfId="0" applyFont="1" applyFill="1" applyBorder="1" applyAlignment="1">
      <alignment wrapText="1"/>
    </xf>
    <xf numFmtId="0" fontId="20" fillId="2" borderId="1" xfId="0" applyFont="1" applyFill="1" applyBorder="1" applyAlignment="1">
      <alignment horizontal="center"/>
    </xf>
    <xf numFmtId="0" fontId="11" fillId="2" borderId="1" xfId="2" applyFont="1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right"/>
    </xf>
    <xf numFmtId="1" fontId="0" fillId="2" borderId="1" xfId="0" applyNumberFormat="1" applyFill="1" applyBorder="1" applyAlignment="1">
      <alignment horizontal="left"/>
    </xf>
    <xf numFmtId="0" fontId="30" fillId="2" borderId="1" xfId="0" applyFont="1" applyFill="1" applyBorder="1"/>
    <xf numFmtId="0" fontId="29" fillId="2" borderId="1" xfId="0" applyFont="1" applyFill="1" applyBorder="1"/>
    <xf numFmtId="0" fontId="29" fillId="2" borderId="1" xfId="0" applyFont="1" applyFill="1" applyBorder="1" applyAlignment="1">
      <alignment horizontal="center"/>
    </xf>
    <xf numFmtId="0" fontId="29" fillId="2" borderId="0" xfId="0" applyFont="1" applyFill="1"/>
    <xf numFmtId="0" fontId="20" fillId="2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15" fontId="20" fillId="2" borderId="1" xfId="0" applyNumberFormat="1" applyFont="1" applyFill="1" applyBorder="1" applyAlignment="1">
      <alignment horizontal="center"/>
    </xf>
    <xf numFmtId="15" fontId="20" fillId="2" borderId="1" xfId="0" applyNumberFormat="1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21" fillId="0" borderId="1" xfId="0" applyFont="1" applyBorder="1"/>
    <xf numFmtId="0" fontId="31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center"/>
    </xf>
    <xf numFmtId="0" fontId="21" fillId="4" borderId="1" xfId="0" applyFont="1" applyFill="1" applyBorder="1"/>
    <xf numFmtId="0" fontId="0" fillId="4" borderId="1" xfId="0" applyFill="1" applyBorder="1"/>
    <xf numFmtId="0" fontId="15" fillId="0" borderId="1" xfId="0" applyFont="1" applyBorder="1"/>
    <xf numFmtId="9" fontId="0" fillId="0" borderId="1" xfId="0" applyNumberFormat="1" applyBorder="1"/>
    <xf numFmtId="0" fontId="0" fillId="4" borderId="1" xfId="0" applyFill="1" applyBorder="1" applyAlignment="1">
      <alignment horizontal="left" wrapText="1"/>
    </xf>
    <xf numFmtId="0" fontId="11" fillId="0" borderId="0" xfId="0" applyFont="1"/>
    <xf numFmtId="0" fontId="29" fillId="0" borderId="1" xfId="0" applyFont="1" applyBorder="1"/>
    <xf numFmtId="0" fontId="20" fillId="0" borderId="0" xfId="0" applyFont="1" applyAlignment="1">
      <alignment horizontal="center" vertical="center" wrapText="1"/>
    </xf>
    <xf numFmtId="0" fontId="10" fillId="2" borderId="1" xfId="0" applyFont="1" applyFill="1" applyBorder="1"/>
    <xf numFmtId="0" fontId="28" fillId="2" borderId="1" xfId="2" applyFont="1" applyFill="1" applyBorder="1"/>
    <xf numFmtId="0" fontId="20" fillId="2" borderId="1" xfId="0" applyFont="1" applyFill="1" applyBorder="1" applyAlignment="1">
      <alignment horizontal="right"/>
    </xf>
    <xf numFmtId="0" fontId="32" fillId="2" borderId="1" xfId="0" applyFont="1" applyFill="1" applyBorder="1"/>
    <xf numFmtId="0" fontId="0" fillId="0" borderId="0" xfId="0" applyAlignment="1">
      <alignment vertical="center" wrapText="1"/>
    </xf>
    <xf numFmtId="0" fontId="9" fillId="2" borderId="1" xfId="2" applyFont="1" applyFill="1" applyBorder="1"/>
    <xf numFmtId="0" fontId="0" fillId="2" borderId="1" xfId="2" applyFont="1" applyFill="1" applyBorder="1"/>
    <xf numFmtId="0" fontId="8" fillId="0" borderId="1" xfId="0" applyFont="1" applyBorder="1"/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4" fillId="0" borderId="0" xfId="0" applyFont="1"/>
    <xf numFmtId="0" fontId="7" fillId="0" borderId="1" xfId="0" applyFont="1" applyBorder="1"/>
    <xf numFmtId="0" fontId="35" fillId="0" borderId="0" xfId="0" applyFont="1"/>
    <xf numFmtId="0" fontId="7" fillId="2" borderId="1" xfId="0" applyFont="1" applyFill="1" applyBorder="1"/>
    <xf numFmtId="0" fontId="0" fillId="0" borderId="6" xfId="0" applyBorder="1"/>
    <xf numFmtId="165" fontId="0" fillId="0" borderId="5" xfId="0" applyNumberFormat="1" applyBorder="1" applyAlignment="1">
      <alignment horizontal="center"/>
    </xf>
    <xf numFmtId="0" fontId="36" fillId="0" borderId="0" xfId="0" applyFont="1"/>
    <xf numFmtId="0" fontId="0" fillId="0" borderId="5" xfId="0" applyBorder="1"/>
    <xf numFmtId="0" fontId="0" fillId="0" borderId="5" xfId="0" applyBorder="1" applyAlignment="1">
      <alignment vertical="center" wrapText="1"/>
    </xf>
    <xf numFmtId="0" fontId="6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37" fillId="0" borderId="0" xfId="0" applyFont="1" applyAlignment="1">
      <alignment horizontal="left" vertical="center" indent="1" readingOrder="1"/>
    </xf>
    <xf numFmtId="0" fontId="3" fillId="0" borderId="1" xfId="0" applyFont="1" applyBorder="1"/>
    <xf numFmtId="0" fontId="3" fillId="0" borderId="0" xfId="0" applyFont="1"/>
    <xf numFmtId="0" fontId="38" fillId="0" borderId="0" xfId="0" applyFont="1"/>
    <xf numFmtId="0" fontId="2" fillId="0" borderId="1" xfId="0" applyFont="1" applyBorder="1"/>
    <xf numFmtId="0" fontId="32" fillId="2" borderId="0" xfId="0" applyFont="1" applyFill="1"/>
    <xf numFmtId="0" fontId="1" fillId="2" borderId="0" xfId="0" applyFont="1" applyFill="1"/>
    <xf numFmtId="0" fontId="1" fillId="0" borderId="0" xfId="0" applyFont="1"/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230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Jumlah Peserta SL Pada BSB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'Tab all'!$H$2</c:f>
              <c:strCache>
                <c:ptCount val="1"/>
                <c:pt idx="0">
                  <c:v>SL 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 all'!$B$3:$B$9</c:f>
              <c:strCache>
                <c:ptCount val="7"/>
                <c:pt idx="0">
                  <c:v>Boyolali</c:v>
                </c:pt>
                <c:pt idx="1">
                  <c:v>Sragen</c:v>
                </c:pt>
                <c:pt idx="2">
                  <c:v>Sragen</c:v>
                </c:pt>
                <c:pt idx="3">
                  <c:v>Klaten</c:v>
                </c:pt>
                <c:pt idx="4">
                  <c:v>Klaten</c:v>
                </c:pt>
                <c:pt idx="5">
                  <c:v>Ngawi</c:v>
                </c:pt>
                <c:pt idx="6">
                  <c:v>Madiun</c:v>
                </c:pt>
              </c:strCache>
            </c:strRef>
          </c:cat>
          <c:val>
            <c:numRef>
              <c:f>'Tab all'!$H$3:$H$9</c:f>
              <c:numCache>
                <c:formatCode>General</c:formatCode>
                <c:ptCount val="7"/>
                <c:pt idx="0">
                  <c:v>26</c:v>
                </c:pt>
                <c:pt idx="1">
                  <c:v>22</c:v>
                </c:pt>
                <c:pt idx="2">
                  <c:v>19</c:v>
                </c:pt>
                <c:pt idx="3">
                  <c:v>28</c:v>
                </c:pt>
                <c:pt idx="4">
                  <c:v>23</c:v>
                </c:pt>
                <c:pt idx="5" formatCode="0">
                  <c:v>24</c:v>
                </c:pt>
                <c:pt idx="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2-4B64-B047-297369927C3A}"/>
            </c:ext>
          </c:extLst>
        </c:ser>
        <c:ser>
          <c:idx val="1"/>
          <c:order val="1"/>
          <c:tx>
            <c:strRef>
              <c:f>'Tab all'!$I$2</c:f>
              <c:strCache>
                <c:ptCount val="1"/>
                <c:pt idx="0">
                  <c:v>SL 2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 all'!$B$3:$B$9</c:f>
              <c:strCache>
                <c:ptCount val="7"/>
                <c:pt idx="0">
                  <c:v>Boyolali</c:v>
                </c:pt>
                <c:pt idx="1">
                  <c:v>Sragen</c:v>
                </c:pt>
                <c:pt idx="2">
                  <c:v>Sragen</c:v>
                </c:pt>
                <c:pt idx="3">
                  <c:v>Klaten</c:v>
                </c:pt>
                <c:pt idx="4">
                  <c:v>Klaten</c:v>
                </c:pt>
                <c:pt idx="5">
                  <c:v>Ngawi</c:v>
                </c:pt>
                <c:pt idx="6">
                  <c:v>Madiun</c:v>
                </c:pt>
              </c:strCache>
            </c:strRef>
          </c:cat>
          <c:val>
            <c:numRef>
              <c:f>'Tab all'!$I$3:$I$9</c:f>
              <c:numCache>
                <c:formatCode>General</c:formatCode>
                <c:ptCount val="7"/>
                <c:pt idx="0">
                  <c:v>31</c:v>
                </c:pt>
                <c:pt idx="1">
                  <c:v>25</c:v>
                </c:pt>
                <c:pt idx="2">
                  <c:v>28</c:v>
                </c:pt>
                <c:pt idx="3">
                  <c:v>27</c:v>
                </c:pt>
                <c:pt idx="4">
                  <c:v>11</c:v>
                </c:pt>
                <c:pt idx="5" formatCode="0">
                  <c:v>30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42-4B64-B047-297369927C3A}"/>
            </c:ext>
          </c:extLst>
        </c:ser>
        <c:ser>
          <c:idx val="2"/>
          <c:order val="2"/>
          <c:tx>
            <c:strRef>
              <c:f>'Tab all'!$J$2</c:f>
              <c:strCache>
                <c:ptCount val="1"/>
                <c:pt idx="0">
                  <c:v>SL 3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 all'!$B$3:$B$9</c:f>
              <c:strCache>
                <c:ptCount val="7"/>
                <c:pt idx="0">
                  <c:v>Boyolali</c:v>
                </c:pt>
                <c:pt idx="1">
                  <c:v>Sragen</c:v>
                </c:pt>
                <c:pt idx="2">
                  <c:v>Sragen</c:v>
                </c:pt>
                <c:pt idx="3">
                  <c:v>Klaten</c:v>
                </c:pt>
                <c:pt idx="4">
                  <c:v>Klaten</c:v>
                </c:pt>
                <c:pt idx="5">
                  <c:v>Ngawi</c:v>
                </c:pt>
                <c:pt idx="6">
                  <c:v>Madiun</c:v>
                </c:pt>
              </c:strCache>
            </c:strRef>
          </c:cat>
          <c:val>
            <c:numRef>
              <c:f>'Tab all'!$J$3:$J$9</c:f>
              <c:numCache>
                <c:formatCode>General</c:formatCode>
                <c:ptCount val="7"/>
                <c:pt idx="0">
                  <c:v>36</c:v>
                </c:pt>
                <c:pt idx="1">
                  <c:v>31</c:v>
                </c:pt>
                <c:pt idx="2">
                  <c:v>0</c:v>
                </c:pt>
                <c:pt idx="3">
                  <c:v>22</c:v>
                </c:pt>
                <c:pt idx="4">
                  <c:v>15</c:v>
                </c:pt>
                <c:pt idx="5" formatCode="0">
                  <c:v>23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42-4B64-B047-297369927C3A}"/>
            </c:ext>
          </c:extLst>
        </c:ser>
        <c:ser>
          <c:idx val="3"/>
          <c:order val="3"/>
          <c:tx>
            <c:strRef>
              <c:f>'Tab all'!$K$2</c:f>
              <c:strCache>
                <c:ptCount val="1"/>
                <c:pt idx="0">
                  <c:v>SL 4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 all'!$B$3:$B$9</c:f>
              <c:strCache>
                <c:ptCount val="7"/>
                <c:pt idx="0">
                  <c:v>Boyolali</c:v>
                </c:pt>
                <c:pt idx="1">
                  <c:v>Sragen</c:v>
                </c:pt>
                <c:pt idx="2">
                  <c:v>Sragen</c:v>
                </c:pt>
                <c:pt idx="3">
                  <c:v>Klaten</c:v>
                </c:pt>
                <c:pt idx="4">
                  <c:v>Klaten</c:v>
                </c:pt>
                <c:pt idx="5">
                  <c:v>Ngawi</c:v>
                </c:pt>
                <c:pt idx="6">
                  <c:v>Madiun</c:v>
                </c:pt>
              </c:strCache>
            </c:strRef>
          </c:cat>
          <c:val>
            <c:numRef>
              <c:f>'Tab all'!$K$3:$K$9</c:f>
              <c:numCache>
                <c:formatCode>General</c:formatCode>
                <c:ptCount val="7"/>
                <c:pt idx="0">
                  <c:v>18</c:v>
                </c:pt>
                <c:pt idx="1">
                  <c:v>31</c:v>
                </c:pt>
                <c:pt idx="2">
                  <c:v>0</c:v>
                </c:pt>
                <c:pt idx="3">
                  <c:v>23</c:v>
                </c:pt>
                <c:pt idx="4">
                  <c:v>0</c:v>
                </c:pt>
                <c:pt idx="5" formatCode="0">
                  <c:v>22</c:v>
                </c:pt>
                <c:pt idx="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42-4B64-B047-297369927C3A}"/>
            </c:ext>
          </c:extLst>
        </c:ser>
        <c:ser>
          <c:idx val="4"/>
          <c:order val="4"/>
          <c:tx>
            <c:strRef>
              <c:f>'Tab all'!$M$2</c:f>
              <c:strCache>
                <c:ptCount val="1"/>
                <c:pt idx="0">
                  <c:v>SL 6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 all'!$B$3:$B$9</c:f>
              <c:strCache>
                <c:ptCount val="7"/>
                <c:pt idx="0">
                  <c:v>Boyolali</c:v>
                </c:pt>
                <c:pt idx="1">
                  <c:v>Sragen</c:v>
                </c:pt>
                <c:pt idx="2">
                  <c:v>Sragen</c:v>
                </c:pt>
                <c:pt idx="3">
                  <c:v>Klaten</c:v>
                </c:pt>
                <c:pt idx="4">
                  <c:v>Klaten</c:v>
                </c:pt>
                <c:pt idx="5">
                  <c:v>Ngawi</c:v>
                </c:pt>
                <c:pt idx="6">
                  <c:v>Madiun</c:v>
                </c:pt>
              </c:strCache>
            </c:strRef>
          </c:cat>
          <c:val>
            <c:numRef>
              <c:f>'Tab all'!$M$3:$M$9</c:f>
              <c:numCache>
                <c:formatCode>General</c:formatCode>
                <c:ptCount val="7"/>
                <c:pt idx="0">
                  <c:v>34</c:v>
                </c:pt>
                <c:pt idx="1">
                  <c:v>21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6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2-4D74-999F-5D1C5889606A}"/>
            </c:ext>
          </c:extLst>
        </c:ser>
        <c:ser>
          <c:idx val="5"/>
          <c:order val="5"/>
          <c:tx>
            <c:strRef>
              <c:f>Tabulasi!#REF!</c:f>
              <c:strCache>
                <c:ptCount val="1"/>
                <c:pt idx="0">
                  <c:v>#REF!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 all'!$B$3:$B$9</c:f>
              <c:strCache>
                <c:ptCount val="7"/>
                <c:pt idx="0">
                  <c:v>Boyolali</c:v>
                </c:pt>
                <c:pt idx="1">
                  <c:v>Sragen</c:v>
                </c:pt>
                <c:pt idx="2">
                  <c:v>Sragen</c:v>
                </c:pt>
                <c:pt idx="3">
                  <c:v>Klaten</c:v>
                </c:pt>
                <c:pt idx="4">
                  <c:v>Klaten</c:v>
                </c:pt>
                <c:pt idx="5">
                  <c:v>Ngawi</c:v>
                </c:pt>
                <c:pt idx="6">
                  <c:v>Madiun</c:v>
                </c:pt>
              </c:strCache>
            </c:strRef>
          </c:cat>
          <c:val>
            <c:numRef>
              <c:f>Tabulasi!#REF!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2-4D74-999F-5D1C588960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2627311"/>
        <c:axId val="1532626351"/>
      </c:lineChart>
      <c:catAx>
        <c:axId val="15326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26351"/>
        <c:crosses val="autoZero"/>
        <c:auto val="1"/>
        <c:lblAlgn val="ctr"/>
        <c:lblOffset val="100"/>
        <c:noMultiLvlLbl val="0"/>
      </c:catAx>
      <c:valAx>
        <c:axId val="15326263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262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Jumlah Peserta SL Pada BSB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'Tab all'!#REF!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F3C-4896-AA4E-BCDA0516A8ED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'Tab all'!#REF!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F3C-4896-AA4E-BCDA0516A8ED}"/>
            </c:ext>
          </c:extLst>
        </c:ser>
        <c:ser>
          <c:idx val="2"/>
          <c:order val="2"/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'Tab all'!#REF!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F3C-4896-AA4E-BCDA0516A8ED}"/>
            </c:ext>
          </c:extLst>
        </c:ser>
        <c:ser>
          <c:idx val="3"/>
          <c:order val="3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'Tab all'!#REF!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FFD-4F37-B6EB-12185139093F}"/>
            </c:ext>
          </c:extLst>
        </c:ser>
        <c:ser>
          <c:idx val="4"/>
          <c:order val="4"/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'Tab all'!#REF!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FFD-4F37-B6EB-12185139093F}"/>
            </c:ext>
          </c:extLst>
        </c:ser>
        <c:ser>
          <c:idx val="5"/>
          <c:order val="5"/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Tabulasi!#REF!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Tabulasi!#REF!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'Tab all'!#REF!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FFD-4F37-B6EB-1218513909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669279"/>
        <c:axId val="127670719"/>
      </c:lineChart>
      <c:catAx>
        <c:axId val="12766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70719"/>
        <c:crosses val="autoZero"/>
        <c:auto val="1"/>
        <c:lblAlgn val="ctr"/>
        <c:lblOffset val="100"/>
        <c:noMultiLvlLbl val="0"/>
      </c:catAx>
      <c:valAx>
        <c:axId val="1276707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66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FS Participants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'Tab all'!$U$12:$U$15</c:f>
              <c:numCache>
                <c:formatCode>General</c:formatCode>
                <c:ptCount val="4"/>
              </c:numCache>
            </c:numRef>
          </c:cat>
          <c:val>
            <c:numRef>
              <c:f>'Tab all'!$V$12:$V$15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1A8C-4E17-8702-79E6985A48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55710736"/>
        <c:axId val="155690096"/>
        <c:axId val="0"/>
      </c:bar3DChart>
      <c:catAx>
        <c:axId val="15571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0096"/>
        <c:crosses val="autoZero"/>
        <c:auto val="1"/>
        <c:lblAlgn val="ctr"/>
        <c:lblOffset val="100"/>
        <c:noMultiLvlLbl val="0"/>
      </c:catAx>
      <c:valAx>
        <c:axId val="15569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'BSB 1|d 1|Anas Ma''ruf'!#REF!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'BSB 1|d 1|Anas Ma''ruf'!#REF!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202-4DB0-8717-6BF3272F42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36420112"/>
        <c:axId val="736423472"/>
        <c:axId val="0"/>
      </c:bar3DChart>
      <c:catAx>
        <c:axId val="736420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23472"/>
        <c:crosses val="autoZero"/>
        <c:auto val="1"/>
        <c:lblAlgn val="ctr"/>
        <c:lblOffset val="100"/>
        <c:noMultiLvlLbl val="0"/>
      </c:catAx>
      <c:valAx>
        <c:axId val="7364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2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Sukorejo!$G$66</c:f>
              <c:strCache>
                <c:ptCount val="1"/>
                <c:pt idx="0">
                  <c:v>Petani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Sukorejo!$H$66:$J$66</c:f>
              <c:numCache>
                <c:formatCode>General</c:formatCode>
                <c:ptCount val="3"/>
                <c:pt idx="0">
                  <c:v>26</c:v>
                </c:pt>
                <c:pt idx="1">
                  <c:v>27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3-4D0E-98E6-62D135258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6429728"/>
        <c:axId val="586430688"/>
        <c:axId val="0"/>
      </c:bar3DChart>
      <c:catAx>
        <c:axId val="58642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30688"/>
        <c:crosses val="autoZero"/>
        <c:auto val="1"/>
        <c:lblAlgn val="ctr"/>
        <c:lblOffset val="100"/>
        <c:noMultiLvlLbl val="0"/>
      </c:catAx>
      <c:valAx>
        <c:axId val="58643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2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Kliwonan!$G$47</c:f>
              <c:strCache>
                <c:ptCount val="1"/>
                <c:pt idx="0">
                  <c:v>BSB 1 D 2 Eko Ismawati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Kliwonan!$H$47:$J$47</c:f>
              <c:numCache>
                <c:formatCode>General</c:formatCode>
                <c:ptCount val="3"/>
                <c:pt idx="0">
                  <c:v>19</c:v>
                </c:pt>
                <c:pt idx="1">
                  <c:v>28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F-4488-9A37-5E6D9F0A6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6429728"/>
        <c:axId val="586430688"/>
        <c:axId val="0"/>
      </c:bar3DChart>
      <c:catAx>
        <c:axId val="58642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30688"/>
        <c:crosses val="autoZero"/>
        <c:auto val="1"/>
        <c:lblAlgn val="ctr"/>
        <c:lblOffset val="100"/>
        <c:noMultiLvlLbl val="0"/>
      </c:catAx>
      <c:valAx>
        <c:axId val="58643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2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Jotangan!$G$32</c:f>
              <c:strCache>
                <c:ptCount val="1"/>
                <c:pt idx="0">
                  <c:v>Diatas 35 tahun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Jotangan!$H$32:$M$32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F-4860-82BA-AB41BB2BF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7400048"/>
        <c:axId val="577400528"/>
        <c:axId val="0"/>
      </c:bar3DChart>
      <c:catAx>
        <c:axId val="57740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400528"/>
        <c:crosses val="autoZero"/>
        <c:auto val="1"/>
        <c:lblAlgn val="ctr"/>
        <c:lblOffset val="100"/>
        <c:noMultiLvlLbl val="0"/>
      </c:catAx>
      <c:valAx>
        <c:axId val="5774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40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Tawangrejo!$G$49</c:f>
              <c:strCache>
                <c:ptCount val="1"/>
                <c:pt idx="0">
                  <c:v>BSB 1 D 3 Wakidi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Tawangrejo!$H$49:$K$49</c:f>
              <c:numCache>
                <c:formatCode>General</c:formatCode>
                <c:ptCount val="4"/>
                <c:pt idx="0">
                  <c:v>30</c:v>
                </c:pt>
                <c:pt idx="1">
                  <c:v>17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6-4FDB-BD05-3EC60E8BF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7400048"/>
        <c:axId val="577400528"/>
        <c:axId val="0"/>
      </c:bar3DChart>
      <c:catAx>
        <c:axId val="57740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400528"/>
        <c:crosses val="autoZero"/>
        <c:auto val="1"/>
        <c:lblAlgn val="ctr"/>
        <c:lblOffset val="100"/>
        <c:noMultiLvlLbl val="0"/>
      </c:catAx>
      <c:valAx>
        <c:axId val="5774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40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Geneng!$G$44</c:f>
              <c:strCache>
                <c:ptCount val="1"/>
                <c:pt idx="0">
                  <c:v>BSB 1 D 4 Masruchin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Geneng!$H$44:$L$44</c:f>
              <c:numCache>
                <c:formatCode>0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24</c:v>
                </c:pt>
                <c:pt idx="3">
                  <c:v>22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6-4FBD-8FCC-3BC9B1431A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69043648"/>
        <c:axId val="869043168"/>
        <c:axId val="0"/>
      </c:bar3DChart>
      <c:catAx>
        <c:axId val="869043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43168"/>
        <c:crosses val="autoZero"/>
        <c:auto val="1"/>
        <c:lblAlgn val="ctr"/>
        <c:lblOffset val="100"/>
        <c:noMultiLvlLbl val="0"/>
      </c:catAx>
      <c:valAx>
        <c:axId val="8690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4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Klumutan!$H$30:$K$30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Klumutan!#REF!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C75-4D4D-8E93-7454613141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208704"/>
        <c:axId val="787172336"/>
        <c:axId val="0"/>
      </c:bar3DChart>
      <c:catAx>
        <c:axId val="41208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172336"/>
        <c:crosses val="autoZero"/>
        <c:auto val="1"/>
        <c:lblAlgn val="ctr"/>
        <c:lblOffset val="100"/>
        <c:noMultiLvlLbl val="0"/>
      </c:catAx>
      <c:valAx>
        <c:axId val="7871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Tab all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'Jumlah SL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hyperlink" Target="#'Tab all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hyperlink" Target="#'Tab all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hyperlink" Target="#'Tab all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hyperlink" Target="#'Tab all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hyperlink" Target="#'Tab all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hyperlink" Target="#'Tab all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hyperlink" Target="#'Tab al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9</xdr:col>
      <xdr:colOff>463176</xdr:colOff>
      <xdr:row>2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20EF02-CEC3-4C24-AFF3-12BCB0319B2F}"/>
            </a:ext>
          </a:extLst>
        </xdr:cNvPr>
        <xdr:cNvSpPr/>
      </xdr:nvSpPr>
      <xdr:spPr>
        <a:xfrm>
          <a:off x="708660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9</xdr:col>
      <xdr:colOff>463176</xdr:colOff>
      <xdr:row>2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54CD1-9594-423A-9C03-E3287DB4F9DE}"/>
            </a:ext>
          </a:extLst>
        </xdr:cNvPr>
        <xdr:cNvSpPr/>
      </xdr:nvSpPr>
      <xdr:spPr>
        <a:xfrm>
          <a:off x="708660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9</xdr:col>
      <xdr:colOff>463176</xdr:colOff>
      <xdr:row>2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7523C0-EC9C-4619-B756-272A6B283AE3}"/>
            </a:ext>
          </a:extLst>
        </xdr:cNvPr>
        <xdr:cNvSpPr/>
      </xdr:nvSpPr>
      <xdr:spPr>
        <a:xfrm>
          <a:off x="708660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6EB7F7-50EB-416F-92B6-82A2DB19056D}"/>
            </a:ext>
          </a:extLst>
        </xdr:cNvPr>
        <xdr:cNvSpPr/>
      </xdr:nvSpPr>
      <xdr:spPr>
        <a:xfrm>
          <a:off x="86423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281056-52AC-4713-8E3A-87D1E0ABDB34}"/>
            </a:ext>
          </a:extLst>
        </xdr:cNvPr>
        <xdr:cNvSpPr/>
      </xdr:nvSpPr>
      <xdr:spPr>
        <a:xfrm>
          <a:off x="86423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460188</xdr:colOff>
      <xdr:row>4</xdr:row>
      <xdr:rowOff>53125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9AD50-BC80-4179-B0B8-0BF16036840D}"/>
            </a:ext>
          </a:extLst>
        </xdr:cNvPr>
        <xdr:cNvSpPr/>
      </xdr:nvSpPr>
      <xdr:spPr>
        <a:xfrm>
          <a:off x="8979647" y="186765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460187</xdr:colOff>
      <xdr:row>3</xdr:row>
      <xdr:rowOff>60596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BF41DD-A3B2-4B67-97F1-9EB4D9F73074}"/>
            </a:ext>
          </a:extLst>
        </xdr:cNvPr>
        <xdr:cNvSpPr/>
      </xdr:nvSpPr>
      <xdr:spPr>
        <a:xfrm>
          <a:off x="7560235" y="186765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EFB1FB-B8C6-4B61-BFEA-C9EC7D32D132}"/>
            </a:ext>
          </a:extLst>
        </xdr:cNvPr>
        <xdr:cNvSpPr/>
      </xdr:nvSpPr>
      <xdr:spPr>
        <a:xfrm>
          <a:off x="86423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AB242E-5D0D-4AD2-A630-E921FB98DB31}"/>
            </a:ext>
          </a:extLst>
        </xdr:cNvPr>
        <xdr:cNvSpPr/>
      </xdr:nvSpPr>
      <xdr:spPr>
        <a:xfrm>
          <a:off x="100774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BD1CBB-BFE7-479D-B659-DD99F4E06B30}"/>
            </a:ext>
          </a:extLst>
        </xdr:cNvPr>
        <xdr:cNvSpPr/>
      </xdr:nvSpPr>
      <xdr:spPr>
        <a:xfrm>
          <a:off x="86423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01DED-2CA6-426F-8F5F-6F4BBD2D0875}"/>
            </a:ext>
          </a:extLst>
        </xdr:cNvPr>
        <xdr:cNvSpPr/>
      </xdr:nvSpPr>
      <xdr:spPr>
        <a:xfrm>
          <a:off x="86423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8F4027-3BF1-4B9C-B9DD-FB06B59B4053}"/>
            </a:ext>
          </a:extLst>
        </xdr:cNvPr>
        <xdr:cNvSpPr/>
      </xdr:nvSpPr>
      <xdr:spPr>
        <a:xfrm>
          <a:off x="86423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207C2E-D993-4016-A043-CC00B0463156}"/>
            </a:ext>
          </a:extLst>
        </xdr:cNvPr>
        <xdr:cNvSpPr/>
      </xdr:nvSpPr>
      <xdr:spPr>
        <a:xfrm>
          <a:off x="86423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463176</xdr:colOff>
      <xdr:row>3</xdr:row>
      <xdr:rowOff>60969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F56B4C-4A4E-41F4-B6AF-85F04D11FCF9}"/>
            </a:ext>
          </a:extLst>
        </xdr:cNvPr>
        <xdr:cNvSpPr/>
      </xdr:nvSpPr>
      <xdr:spPr>
        <a:xfrm>
          <a:off x="8642350" y="184150"/>
          <a:ext cx="1072776" cy="6134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115911</xdr:rowOff>
    </xdr:from>
    <xdr:to>
      <xdr:col>10</xdr:col>
      <xdr:colOff>449541</xdr:colOff>
      <xdr:row>43</xdr:row>
      <xdr:rowOff>38552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542E2-917B-E833-9B50-838EFCB8D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95250</xdr:colOff>
      <xdr:row>34</xdr:row>
      <xdr:rowOff>23812</xdr:rowOff>
    </xdr:from>
    <xdr:to>
      <xdr:col>20</xdr:col>
      <xdr:colOff>3587750</xdr:colOff>
      <xdr:row>54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F1AECE-2ACA-0D9A-EA06-E816D5218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40410</xdr:colOff>
      <xdr:row>0</xdr:row>
      <xdr:rowOff>94932</xdr:rowOff>
    </xdr:from>
    <xdr:to>
      <xdr:col>22</xdr:col>
      <xdr:colOff>351129</xdr:colOff>
      <xdr:row>2</xdr:row>
      <xdr:rowOff>71916</xdr:rowOff>
    </xdr:to>
    <xdr:sp macro="" textlink="">
      <xdr:nvSpPr>
        <xdr:cNvPr id="3" name="Rectangle: Rounded Corner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7458B8-12F7-4588-9C15-62A0BC6D4655}"/>
            </a:ext>
          </a:extLst>
        </xdr:cNvPr>
        <xdr:cNvSpPr/>
      </xdr:nvSpPr>
      <xdr:spPr>
        <a:xfrm>
          <a:off x="21284046" y="94932"/>
          <a:ext cx="1141992" cy="11430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  <xdr:twoCellAnchor>
    <xdr:from>
      <xdr:col>13</xdr:col>
      <xdr:colOff>0</xdr:colOff>
      <xdr:row>46</xdr:row>
      <xdr:rowOff>19730</xdr:rowOff>
    </xdr:from>
    <xdr:to>
      <xdr:col>20</xdr:col>
      <xdr:colOff>1587500</xdr:colOff>
      <xdr:row>62</xdr:row>
      <xdr:rowOff>33564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F832EAB-6EF9-292C-0672-383876751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533401</xdr:colOff>
      <xdr:row>0</xdr:row>
      <xdr:rowOff>182738</xdr:rowOff>
    </xdr:from>
    <xdr:to>
      <xdr:col>29</xdr:col>
      <xdr:colOff>381001</xdr:colOff>
      <xdr:row>3</xdr:row>
      <xdr:rowOff>41628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3EFDDC-5DCA-5F42-BEB5-172C7537E513}"/>
            </a:ext>
          </a:extLst>
        </xdr:cNvPr>
        <xdr:cNvSpPr/>
      </xdr:nvSpPr>
      <xdr:spPr>
        <a:xfrm>
          <a:off x="17799051" y="182738"/>
          <a:ext cx="1066800" cy="6145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  <xdr:twoCellAnchor>
    <xdr:from>
      <xdr:col>16</xdr:col>
      <xdr:colOff>548366</xdr:colOff>
      <xdr:row>66</xdr:row>
      <xdr:rowOff>233821</xdr:rowOff>
    </xdr:from>
    <xdr:to>
      <xdr:col>22</xdr:col>
      <xdr:colOff>52842</xdr:colOff>
      <xdr:row>86</xdr:row>
      <xdr:rowOff>130861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AF4BE7-166E-F3ED-748D-10B3ABCDC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426141</xdr:colOff>
      <xdr:row>0</xdr:row>
      <xdr:rowOff>154820</xdr:rowOff>
    </xdr:from>
    <xdr:to>
      <xdr:col>23</xdr:col>
      <xdr:colOff>558479</xdr:colOff>
      <xdr:row>3</xdr:row>
      <xdr:rowOff>15265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BFB596-EF5D-4542-A479-59D562CCC2E2}"/>
            </a:ext>
          </a:extLst>
        </xdr:cNvPr>
        <xdr:cNvSpPr/>
      </xdr:nvSpPr>
      <xdr:spPr>
        <a:xfrm>
          <a:off x="17836686" y="154820"/>
          <a:ext cx="1968066" cy="62244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  <xdr:twoCellAnchor>
    <xdr:from>
      <xdr:col>18</xdr:col>
      <xdr:colOff>99218</xdr:colOff>
      <xdr:row>28</xdr:row>
      <xdr:rowOff>136071</xdr:rowOff>
    </xdr:from>
    <xdr:to>
      <xdr:col>26</xdr:col>
      <xdr:colOff>380999</xdr:colOff>
      <xdr:row>72</xdr:row>
      <xdr:rowOff>51139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2B50EA-560E-6B62-86BC-25809F2D2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657049</xdr:colOff>
      <xdr:row>0</xdr:row>
      <xdr:rowOff>85547</xdr:rowOff>
    </xdr:from>
    <xdr:to>
      <xdr:col>17</xdr:col>
      <xdr:colOff>350661</xdr:colOff>
      <xdr:row>2</xdr:row>
      <xdr:rowOff>153810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65FCE8-7705-408E-8340-F92C34C7F946}"/>
            </a:ext>
          </a:extLst>
        </xdr:cNvPr>
        <xdr:cNvSpPr/>
      </xdr:nvSpPr>
      <xdr:spPr>
        <a:xfrm>
          <a:off x="10944049" y="85547"/>
          <a:ext cx="1128712" cy="62071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  <xdr:twoCellAnchor>
    <xdr:from>
      <xdr:col>17</xdr:col>
      <xdr:colOff>99218</xdr:colOff>
      <xdr:row>28</xdr:row>
      <xdr:rowOff>136071</xdr:rowOff>
    </xdr:from>
    <xdr:to>
      <xdr:col>25</xdr:col>
      <xdr:colOff>380999</xdr:colOff>
      <xdr:row>53</xdr:row>
      <xdr:rowOff>51139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E1DB8C-A78C-4438-B6DC-914BF61B9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37376</xdr:colOff>
      <xdr:row>0</xdr:row>
      <xdr:rowOff>37308</xdr:rowOff>
    </xdr:from>
    <xdr:to>
      <xdr:col>22</xdr:col>
      <xdr:colOff>66023</xdr:colOff>
      <xdr:row>2</xdr:row>
      <xdr:rowOff>108745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A7CA1-7461-42AC-BF6B-6E75E5C2A741}"/>
            </a:ext>
          </a:extLst>
        </xdr:cNvPr>
        <xdr:cNvSpPr/>
      </xdr:nvSpPr>
      <xdr:spPr>
        <a:xfrm>
          <a:off x="16002023" y="37308"/>
          <a:ext cx="1253824" cy="62426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  <xdr:twoCellAnchor>
    <xdr:from>
      <xdr:col>19</xdr:col>
      <xdr:colOff>565727</xdr:colOff>
      <xdr:row>39</xdr:row>
      <xdr:rowOff>80818</xdr:rowOff>
    </xdr:from>
    <xdr:to>
      <xdr:col>27</xdr:col>
      <xdr:colOff>67126</xdr:colOff>
      <xdr:row>71</xdr:row>
      <xdr:rowOff>392335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2DCAE-4B28-4928-946A-21930A574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283905</xdr:colOff>
      <xdr:row>0</xdr:row>
      <xdr:rowOff>89602</xdr:rowOff>
    </xdr:from>
    <xdr:to>
      <xdr:col>18</xdr:col>
      <xdr:colOff>312553</xdr:colOff>
      <xdr:row>2</xdr:row>
      <xdr:rowOff>161039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19734-DDC3-4E6A-B1DD-A2846FBA46F8}"/>
            </a:ext>
          </a:extLst>
        </xdr:cNvPr>
        <xdr:cNvSpPr/>
      </xdr:nvSpPr>
      <xdr:spPr>
        <a:xfrm>
          <a:off x="13190280" y="89602"/>
          <a:ext cx="1251023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  <xdr:twoCellAnchor>
    <xdr:from>
      <xdr:col>16</xdr:col>
      <xdr:colOff>483819</xdr:colOff>
      <xdr:row>30</xdr:row>
      <xdr:rowOff>0</xdr:rowOff>
    </xdr:from>
    <xdr:to>
      <xdr:col>24</xdr:col>
      <xdr:colOff>159490</xdr:colOff>
      <xdr:row>59</xdr:row>
      <xdr:rowOff>138335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0BB6DF-70C2-EA02-8516-B4A2D353F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85726</xdr:colOff>
      <xdr:row>1</xdr:row>
      <xdr:rowOff>36512</xdr:rowOff>
    </xdr:from>
    <xdr:to>
      <xdr:col>17</xdr:col>
      <xdr:colOff>452438</xdr:colOff>
      <xdr:row>4</xdr:row>
      <xdr:rowOff>36513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CFCFB7-2D55-4CFF-B6E6-862029B8E876}"/>
            </a:ext>
          </a:extLst>
        </xdr:cNvPr>
        <xdr:cNvSpPr/>
      </xdr:nvSpPr>
      <xdr:spPr>
        <a:xfrm>
          <a:off x="10975976" y="219075"/>
          <a:ext cx="977900" cy="54768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  <xdr:twoCellAnchor>
    <xdr:from>
      <xdr:col>6</xdr:col>
      <xdr:colOff>226216</xdr:colOff>
      <xdr:row>47</xdr:row>
      <xdr:rowOff>182838</xdr:rowOff>
    </xdr:from>
    <xdr:to>
      <xdr:col>12</xdr:col>
      <xdr:colOff>0</xdr:colOff>
      <xdr:row>65</xdr:row>
      <xdr:rowOff>36778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E81066-9661-7F2E-8545-31BFFAF16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7054</xdr:colOff>
      <xdr:row>0</xdr:row>
      <xdr:rowOff>119945</xdr:rowOff>
    </xdr:from>
    <xdr:to>
      <xdr:col>18</xdr:col>
      <xdr:colOff>416278</xdr:colOff>
      <xdr:row>2</xdr:row>
      <xdr:rowOff>185563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5CC4F7-53FB-4F0B-9D5D-01F83C0E43E3}"/>
            </a:ext>
          </a:extLst>
        </xdr:cNvPr>
        <xdr:cNvSpPr/>
      </xdr:nvSpPr>
      <xdr:spPr>
        <a:xfrm>
          <a:off x="13532554" y="119945"/>
          <a:ext cx="1016002" cy="61595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HALAMAN </a:t>
          </a:r>
        </a:p>
        <a:p>
          <a:pPr algn="l"/>
          <a:r>
            <a:rPr lang="id-ID" sz="1100"/>
            <a:t>DEPAN</a:t>
          </a:r>
          <a:endParaRPr lang="en-US" sz="1100"/>
        </a:p>
      </xdr:txBody>
    </xdr:sp>
    <xdr:clientData/>
  </xdr:twoCellAnchor>
  <xdr:twoCellAnchor>
    <xdr:from>
      <xdr:col>19</xdr:col>
      <xdr:colOff>314475</xdr:colOff>
      <xdr:row>30</xdr:row>
      <xdr:rowOff>0</xdr:rowOff>
    </xdr:from>
    <xdr:to>
      <xdr:col>25</xdr:col>
      <xdr:colOff>25197</xdr:colOff>
      <xdr:row>82</xdr:row>
      <xdr:rowOff>175180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32ED3F-0A66-F5B4-A8E3-890A4DA71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E711E1-BCD1-4ED5-8288-EE8180F15436}" name="Table2" displayName="Table2" ref="B3:D10" totalsRowShown="0">
  <autoFilter ref="B3:D10" xr:uid="{9DE711E1-BCD1-4ED5-8288-EE8180F15436}"/>
  <tableColumns count="3">
    <tableColumn id="1" xr3:uid="{BDF5759A-8FB8-47E4-BDA5-612A6FEF86E7}" name="Kab "/>
    <tableColumn id="2" xr3:uid="{066BD64D-86B0-4701-A087-5B3AE2FD571F}" name="Desa"/>
    <tableColumn id="3" xr3:uid="{97B47F68-E621-4737-863C-B5012971E36A}" name="Jumlah SL" dataDxfId="229">
      <calculatedColumnFormula>COUNTA(Manggis!P2:U2)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21D-257E-43C6-BDD2-0213032A4600}">
  <dimension ref="A2:C2"/>
  <sheetViews>
    <sheetView workbookViewId="0">
      <selection activeCell="B1" sqref="B1"/>
    </sheetView>
  </sheetViews>
  <sheetFormatPr defaultRowHeight="14.5" x14ac:dyDescent="0.35"/>
  <cols>
    <col min="2" max="2" width="9.453125" bestFit="1" customWidth="1"/>
  </cols>
  <sheetData>
    <row r="2" spans="1:3" x14ac:dyDescent="0.35">
      <c r="A2" t="s">
        <v>101</v>
      </c>
      <c r="B2" s="57">
        <v>-7.5700669999999999</v>
      </c>
      <c r="C2" s="49">
        <v>110.612419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F130-C7B6-40BD-A952-19AB18458817}">
  <dimension ref="B2:H10"/>
  <sheetViews>
    <sheetView workbookViewId="0">
      <selection activeCell="D6" sqref="D6"/>
    </sheetView>
  </sheetViews>
  <sheetFormatPr defaultRowHeight="14.5" x14ac:dyDescent="0.35"/>
  <cols>
    <col min="2" max="2" width="13.6328125" customWidth="1"/>
    <col min="3" max="3" width="26.90625" bestFit="1" customWidth="1"/>
    <col min="4" max="4" width="12.26953125" style="4" bestFit="1" customWidth="1"/>
    <col min="5" max="5" width="22.1796875" bestFit="1" customWidth="1"/>
    <col min="6" max="6" width="8.7265625" style="4" bestFit="1" customWidth="1"/>
    <col min="7" max="7" width="25.54296875" bestFit="1" customWidth="1"/>
    <col min="8" max="8" width="8.7265625" style="4" bestFit="1"/>
  </cols>
  <sheetData>
    <row r="2" spans="2:5" x14ac:dyDescent="0.35">
      <c r="B2" t="s">
        <v>48</v>
      </c>
      <c r="E2" s="40">
        <f ca="1">NOW()</f>
        <v>46304.559300694447</v>
      </c>
    </row>
    <row r="3" spans="2:5" x14ac:dyDescent="0.35">
      <c r="B3" t="s">
        <v>425</v>
      </c>
      <c r="C3" t="s">
        <v>402</v>
      </c>
      <c r="D3" s="4" t="s">
        <v>47</v>
      </c>
    </row>
    <row r="4" spans="2:5" x14ac:dyDescent="0.35">
      <c r="B4" t="s">
        <v>59</v>
      </c>
      <c r="C4" t="s">
        <v>101</v>
      </c>
      <c r="D4" s="4">
        <f>COUNTA(Manggis!P2:U2)</f>
        <v>6</v>
      </c>
    </row>
    <row r="5" spans="2:5" x14ac:dyDescent="0.35">
      <c r="B5" t="s">
        <v>426</v>
      </c>
      <c r="C5" t="s">
        <v>427</v>
      </c>
      <c r="D5" s="4">
        <f>COUNTA(Sukorejo!H2:L2)</f>
        <v>5</v>
      </c>
    </row>
    <row r="6" spans="2:5" x14ac:dyDescent="0.35">
      <c r="C6" t="s">
        <v>403</v>
      </c>
      <c r="D6" s="4">
        <f>COUNTA(Kliwonan!H2:L2)</f>
        <v>2</v>
      </c>
    </row>
    <row r="7" spans="2:5" x14ac:dyDescent="0.35">
      <c r="B7" t="s">
        <v>57</v>
      </c>
      <c r="C7" t="s">
        <v>419</v>
      </c>
      <c r="D7" s="4">
        <f>COUNTA(Jotangan!H2:N2)</f>
        <v>6</v>
      </c>
    </row>
    <row r="8" spans="2:5" x14ac:dyDescent="0.35">
      <c r="C8" t="s">
        <v>428</v>
      </c>
      <c r="D8" s="4">
        <f>COUNTA(Tawangrejo!H2:L2)</f>
        <v>3</v>
      </c>
    </row>
    <row r="9" spans="2:5" x14ac:dyDescent="0.35">
      <c r="B9" t="s">
        <v>56</v>
      </c>
      <c r="C9" t="s">
        <v>408</v>
      </c>
      <c r="D9" s="4">
        <f>COUNTA(Geneng!H2:L2)</f>
        <v>5</v>
      </c>
    </row>
    <row r="10" spans="2:5" x14ac:dyDescent="0.35">
      <c r="B10" t="s">
        <v>55</v>
      </c>
      <c r="C10" t="s">
        <v>222</v>
      </c>
      <c r="D10" s="4">
        <f>COUNTA(Klumutan!H2:M2)</f>
        <v>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9BC0-79D1-4F8E-B5D2-9DFB008EC968}">
  <dimension ref="A1:E39"/>
  <sheetViews>
    <sheetView workbookViewId="0">
      <selection activeCell="I7" sqref="I7"/>
    </sheetView>
  </sheetViews>
  <sheetFormatPr defaultRowHeight="14.5" x14ac:dyDescent="0.35"/>
  <cols>
    <col min="1" max="1" width="9.36328125" style="4" customWidth="1"/>
    <col min="2" max="2" width="21.08984375" bestFit="1" customWidth="1"/>
    <col min="3" max="3" width="13.6328125" customWidth="1"/>
    <col min="4" max="4" width="21.08984375" bestFit="1" customWidth="1"/>
    <col min="5" max="5" width="10.08984375" bestFit="1" customWidth="1"/>
  </cols>
  <sheetData>
    <row r="1" spans="1:5" s="16" customFormat="1" x14ac:dyDescent="0.35">
      <c r="A1" s="66" t="s">
        <v>570</v>
      </c>
      <c r="D1" s="67">
        <v>46160</v>
      </c>
    </row>
    <row r="2" spans="1:5" ht="43.5" x14ac:dyDescent="0.35">
      <c r="A2" s="13" t="s">
        <v>0</v>
      </c>
      <c r="B2" s="61" t="s">
        <v>102</v>
      </c>
      <c r="C2" s="62" t="s">
        <v>104</v>
      </c>
      <c r="D2" s="62" t="s">
        <v>105</v>
      </c>
      <c r="E2" s="62" t="s">
        <v>106</v>
      </c>
    </row>
    <row r="3" spans="1:5" x14ac:dyDescent="0.35">
      <c r="A3" s="3">
        <v>1</v>
      </c>
      <c r="B3" s="64" t="s">
        <v>533</v>
      </c>
      <c r="C3" s="64" t="s">
        <v>534</v>
      </c>
      <c r="D3" s="1" t="s">
        <v>149</v>
      </c>
      <c r="E3" s="1" t="s">
        <v>96</v>
      </c>
    </row>
    <row r="4" spans="1:5" x14ac:dyDescent="0.35">
      <c r="A4" s="3">
        <v>2</v>
      </c>
      <c r="B4" s="64" t="s">
        <v>535</v>
      </c>
      <c r="C4" s="64" t="s">
        <v>91</v>
      </c>
      <c r="D4" s="1" t="s">
        <v>149</v>
      </c>
      <c r="E4" s="1" t="s">
        <v>96</v>
      </c>
    </row>
    <row r="5" spans="1:5" x14ac:dyDescent="0.35">
      <c r="A5" s="3">
        <v>3</v>
      </c>
      <c r="B5" s="64" t="s">
        <v>536</v>
      </c>
      <c r="C5" s="64" t="s">
        <v>537</v>
      </c>
      <c r="D5" s="1" t="s">
        <v>149</v>
      </c>
      <c r="E5" s="1" t="s">
        <v>96</v>
      </c>
    </row>
    <row r="6" spans="1:5" x14ac:dyDescent="0.35">
      <c r="A6" s="3">
        <v>4</v>
      </c>
      <c r="B6" s="64" t="s">
        <v>538</v>
      </c>
      <c r="C6" s="64" t="s">
        <v>537</v>
      </c>
      <c r="D6" s="1" t="s">
        <v>149</v>
      </c>
      <c r="E6" s="1" t="s">
        <v>96</v>
      </c>
    </row>
    <row r="7" spans="1:5" x14ac:dyDescent="0.35">
      <c r="A7" s="3">
        <v>5</v>
      </c>
      <c r="B7" s="64" t="s">
        <v>539</v>
      </c>
      <c r="C7" s="64" t="s">
        <v>540</v>
      </c>
      <c r="D7" s="1" t="s">
        <v>149</v>
      </c>
      <c r="E7" s="1" t="s">
        <v>96</v>
      </c>
    </row>
    <row r="8" spans="1:5" x14ac:dyDescent="0.35">
      <c r="A8" s="3">
        <v>6</v>
      </c>
      <c r="B8" s="64" t="s">
        <v>541</v>
      </c>
      <c r="C8" s="64" t="s">
        <v>542</v>
      </c>
      <c r="D8" s="1" t="s">
        <v>149</v>
      </c>
      <c r="E8" s="1" t="s">
        <v>96</v>
      </c>
    </row>
    <row r="9" spans="1:5" x14ac:dyDescent="0.35">
      <c r="A9" s="3">
        <v>7</v>
      </c>
      <c r="B9" s="64" t="s">
        <v>543</v>
      </c>
      <c r="C9" s="64" t="s">
        <v>544</v>
      </c>
      <c r="D9" s="1" t="s">
        <v>149</v>
      </c>
      <c r="E9" s="1" t="s">
        <v>96</v>
      </c>
    </row>
    <row r="10" spans="1:5" x14ac:dyDescent="0.35">
      <c r="A10" s="3">
        <v>8</v>
      </c>
      <c r="B10" s="64" t="s">
        <v>545</v>
      </c>
      <c r="C10" s="64" t="s">
        <v>542</v>
      </c>
      <c r="D10" s="1" t="s">
        <v>149</v>
      </c>
      <c r="E10" s="1" t="s">
        <v>96</v>
      </c>
    </row>
    <row r="11" spans="1:5" x14ac:dyDescent="0.35">
      <c r="A11" s="3">
        <v>9</v>
      </c>
      <c r="B11" s="64" t="s">
        <v>546</v>
      </c>
      <c r="C11" s="64" t="s">
        <v>542</v>
      </c>
      <c r="D11" s="1" t="s">
        <v>149</v>
      </c>
      <c r="E11" s="1" t="s">
        <v>96</v>
      </c>
    </row>
    <row r="12" spans="1:5" x14ac:dyDescent="0.35">
      <c r="A12" s="3">
        <v>10</v>
      </c>
      <c r="B12" s="64" t="s">
        <v>547</v>
      </c>
      <c r="C12" s="64" t="s">
        <v>542</v>
      </c>
      <c r="D12" s="1" t="s">
        <v>149</v>
      </c>
      <c r="E12" s="1" t="s">
        <v>96</v>
      </c>
    </row>
    <row r="13" spans="1:5" x14ac:dyDescent="0.35">
      <c r="A13" s="3">
        <v>11</v>
      </c>
      <c r="B13" s="64" t="s">
        <v>548</v>
      </c>
      <c r="C13" s="64" t="s">
        <v>542</v>
      </c>
      <c r="D13" s="1" t="s">
        <v>149</v>
      </c>
      <c r="E13" s="1" t="s">
        <v>96</v>
      </c>
    </row>
    <row r="14" spans="1:5" x14ac:dyDescent="0.35">
      <c r="A14" s="3">
        <v>12</v>
      </c>
      <c r="B14" s="64" t="s">
        <v>549</v>
      </c>
      <c r="C14" s="64" t="s">
        <v>550</v>
      </c>
      <c r="D14" s="1" t="s">
        <v>149</v>
      </c>
      <c r="E14" s="1" t="s">
        <v>96</v>
      </c>
    </row>
    <row r="15" spans="1:5" x14ac:dyDescent="0.35">
      <c r="A15" s="3">
        <v>13</v>
      </c>
      <c r="B15" s="64" t="s">
        <v>551</v>
      </c>
      <c r="C15" s="64" t="s">
        <v>550</v>
      </c>
      <c r="D15" s="1" t="s">
        <v>149</v>
      </c>
      <c r="E15" s="1" t="s">
        <v>96</v>
      </c>
    </row>
    <row r="16" spans="1:5" x14ac:dyDescent="0.35">
      <c r="A16" s="3">
        <v>14</v>
      </c>
      <c r="B16" s="64" t="s">
        <v>552</v>
      </c>
      <c r="C16" s="64" t="s">
        <v>544</v>
      </c>
      <c r="D16" s="1" t="s">
        <v>149</v>
      </c>
      <c r="E16" s="1" t="s">
        <v>97</v>
      </c>
    </row>
    <row r="17" spans="1:5" x14ac:dyDescent="0.35">
      <c r="A17" s="3">
        <v>15</v>
      </c>
      <c r="B17" s="64" t="s">
        <v>553</v>
      </c>
      <c r="C17" s="64" t="s">
        <v>537</v>
      </c>
      <c r="D17" s="1" t="s">
        <v>149</v>
      </c>
      <c r="E17" s="1" t="s">
        <v>96</v>
      </c>
    </row>
    <row r="18" spans="1:5" x14ac:dyDescent="0.35">
      <c r="A18" s="3">
        <v>16</v>
      </c>
      <c r="B18" s="64" t="s">
        <v>554</v>
      </c>
      <c r="C18" s="64" t="s">
        <v>540</v>
      </c>
      <c r="D18" s="1" t="s">
        <v>149</v>
      </c>
      <c r="E18" s="1" t="s">
        <v>96</v>
      </c>
    </row>
    <row r="19" spans="1:5" x14ac:dyDescent="0.35">
      <c r="A19" s="3">
        <v>17</v>
      </c>
      <c r="B19" s="64" t="s">
        <v>555</v>
      </c>
      <c r="C19" s="64" t="s">
        <v>544</v>
      </c>
      <c r="D19" s="1" t="s">
        <v>149</v>
      </c>
      <c r="E19" s="1" t="s">
        <v>96</v>
      </c>
    </row>
    <row r="20" spans="1:5" x14ac:dyDescent="0.35">
      <c r="A20" s="3">
        <v>18</v>
      </c>
      <c r="B20" s="64" t="s">
        <v>556</v>
      </c>
      <c r="C20" s="64" t="s">
        <v>544</v>
      </c>
      <c r="D20" s="1" t="s">
        <v>149</v>
      </c>
      <c r="E20" s="1" t="s">
        <v>96</v>
      </c>
    </row>
    <row r="21" spans="1:5" x14ac:dyDescent="0.35">
      <c r="A21" s="3">
        <v>19</v>
      </c>
      <c r="B21" s="64" t="s">
        <v>557</v>
      </c>
      <c r="C21" s="64" t="s">
        <v>540</v>
      </c>
      <c r="D21" s="1" t="s">
        <v>149</v>
      </c>
      <c r="E21" s="1" t="s">
        <v>96</v>
      </c>
    </row>
    <row r="22" spans="1:5" x14ac:dyDescent="0.35">
      <c r="A22" s="3">
        <v>20</v>
      </c>
      <c r="B22" s="64" t="s">
        <v>558</v>
      </c>
      <c r="C22" s="64" t="s">
        <v>540</v>
      </c>
      <c r="D22" s="1" t="s">
        <v>149</v>
      </c>
      <c r="E22" s="1" t="s">
        <v>96</v>
      </c>
    </row>
    <row r="23" spans="1:5" x14ac:dyDescent="0.35">
      <c r="A23" s="3">
        <v>21</v>
      </c>
      <c r="B23" s="64" t="s">
        <v>559</v>
      </c>
      <c r="C23" s="64" t="s">
        <v>542</v>
      </c>
      <c r="D23" s="1" t="s">
        <v>149</v>
      </c>
      <c r="E23" s="1" t="s">
        <v>96</v>
      </c>
    </row>
    <row r="24" spans="1:5" x14ac:dyDescent="0.35">
      <c r="A24" s="3">
        <v>22</v>
      </c>
      <c r="B24" s="64" t="s">
        <v>560</v>
      </c>
      <c r="C24" s="64" t="s">
        <v>544</v>
      </c>
      <c r="D24" s="1" t="s">
        <v>149</v>
      </c>
      <c r="E24" s="1" t="s">
        <v>97</v>
      </c>
    </row>
    <row r="25" spans="1:5" x14ac:dyDescent="0.35">
      <c r="A25" s="3">
        <v>23</v>
      </c>
      <c r="B25" s="64" t="s">
        <v>561</v>
      </c>
      <c r="C25" s="64" t="s">
        <v>544</v>
      </c>
      <c r="D25" s="1" t="s">
        <v>149</v>
      </c>
      <c r="E25" s="1" t="s">
        <v>97</v>
      </c>
    </row>
    <row r="26" spans="1:5" x14ac:dyDescent="0.35">
      <c r="A26" s="3">
        <v>24</v>
      </c>
      <c r="B26" s="64" t="s">
        <v>562</v>
      </c>
      <c r="C26" s="64" t="s">
        <v>540</v>
      </c>
      <c r="D26" s="1" t="s">
        <v>149</v>
      </c>
      <c r="E26" s="1" t="s">
        <v>97</v>
      </c>
    </row>
    <row r="27" spans="1:5" x14ac:dyDescent="0.35">
      <c r="A27" s="3">
        <v>25</v>
      </c>
      <c r="B27" s="64" t="s">
        <v>563</v>
      </c>
      <c r="C27" s="64" t="s">
        <v>540</v>
      </c>
      <c r="D27" s="1" t="s">
        <v>149</v>
      </c>
      <c r="E27" s="1" t="s">
        <v>97</v>
      </c>
    </row>
    <row r="28" spans="1:5" x14ac:dyDescent="0.35">
      <c r="A28" s="3">
        <v>26</v>
      </c>
      <c r="B28" s="64" t="s">
        <v>200</v>
      </c>
      <c r="C28" s="64" t="s">
        <v>542</v>
      </c>
      <c r="D28" s="1" t="s">
        <v>149</v>
      </c>
      <c r="E28" s="1" t="s">
        <v>97</v>
      </c>
    </row>
    <row r="29" spans="1:5" x14ac:dyDescent="0.35">
      <c r="A29" s="3">
        <v>27</v>
      </c>
      <c r="B29" s="64" t="s">
        <v>564</v>
      </c>
      <c r="C29" s="64" t="s">
        <v>544</v>
      </c>
      <c r="D29" s="1" t="s">
        <v>149</v>
      </c>
      <c r="E29" s="1" t="s">
        <v>96</v>
      </c>
    </row>
    <row r="30" spans="1:5" x14ac:dyDescent="0.35">
      <c r="A30" s="3">
        <v>28</v>
      </c>
      <c r="B30" s="64" t="s">
        <v>565</v>
      </c>
      <c r="C30" s="64" t="s">
        <v>544</v>
      </c>
      <c r="D30" s="1" t="s">
        <v>149</v>
      </c>
      <c r="E30" s="1" t="s">
        <v>96</v>
      </c>
    </row>
    <row r="31" spans="1:5" x14ac:dyDescent="0.35">
      <c r="A31" s="3">
        <v>29</v>
      </c>
      <c r="B31" s="64" t="s">
        <v>566</v>
      </c>
      <c r="C31" s="64" t="s">
        <v>540</v>
      </c>
      <c r="D31" s="1" t="s">
        <v>149</v>
      </c>
      <c r="E31" s="1" t="s">
        <v>96</v>
      </c>
    </row>
    <row r="32" spans="1:5" x14ac:dyDescent="0.35">
      <c r="A32" s="3">
        <v>30</v>
      </c>
      <c r="B32" s="64" t="s">
        <v>567</v>
      </c>
      <c r="C32" s="64" t="s">
        <v>540</v>
      </c>
      <c r="D32" s="1" t="s">
        <v>149</v>
      </c>
      <c r="E32" s="1" t="s">
        <v>96</v>
      </c>
    </row>
    <row r="33" spans="1:5" x14ac:dyDescent="0.35">
      <c r="A33" s="3">
        <v>31</v>
      </c>
      <c r="B33" s="64" t="s">
        <v>568</v>
      </c>
      <c r="C33" s="64" t="s">
        <v>540</v>
      </c>
      <c r="D33" s="1" t="s">
        <v>149</v>
      </c>
      <c r="E33" s="1" t="s">
        <v>96</v>
      </c>
    </row>
    <row r="34" spans="1:5" x14ac:dyDescent="0.35">
      <c r="A34" s="3">
        <v>32</v>
      </c>
      <c r="B34" s="64" t="s">
        <v>569</v>
      </c>
      <c r="C34" s="64" t="s">
        <v>540</v>
      </c>
      <c r="D34" s="1" t="s">
        <v>149</v>
      </c>
      <c r="E34" s="1" t="s">
        <v>96</v>
      </c>
    </row>
    <row r="36" spans="1:5" x14ac:dyDescent="0.35">
      <c r="B36" s="1" t="s">
        <v>179</v>
      </c>
      <c r="C36" s="1" t="s">
        <v>97</v>
      </c>
      <c r="D36" s="1">
        <f>COUNTIFS($E$3:$E$34,C36,$D$3:$D$34,B36)</f>
        <v>0</v>
      </c>
    </row>
    <row r="37" spans="1:5" x14ac:dyDescent="0.35">
      <c r="B37" s="1" t="s">
        <v>179</v>
      </c>
      <c r="C37" s="1" t="s">
        <v>96</v>
      </c>
      <c r="D37" s="1">
        <f t="shared" ref="D37:D39" si="0">COUNTIFS($E$3:$E$34,C37,$D$3:$D$34,B37)</f>
        <v>0</v>
      </c>
    </row>
    <row r="38" spans="1:5" x14ac:dyDescent="0.35">
      <c r="B38" s="1" t="s">
        <v>149</v>
      </c>
      <c r="C38" s="1" t="s">
        <v>97</v>
      </c>
      <c r="D38" s="1">
        <f t="shared" si="0"/>
        <v>6</v>
      </c>
    </row>
    <row r="39" spans="1:5" x14ac:dyDescent="0.35">
      <c r="B39" s="1" t="s">
        <v>149</v>
      </c>
      <c r="C39" s="1" t="s">
        <v>96</v>
      </c>
      <c r="D39" s="1">
        <f t="shared" si="0"/>
        <v>26</v>
      </c>
    </row>
  </sheetData>
  <autoFilter ref="A2:E34" xr:uid="{F197FCC6-0B0A-4AC8-A957-9234B97F9BCC}"/>
  <conditionalFormatting sqref="B36:B37">
    <cfRule type="expression" dxfId="228" priority="6">
      <formula>MOD(ROW(),2)=0</formula>
    </cfRule>
    <cfRule type="expression" dxfId="227" priority="7">
      <formula>MOD(ROW(),2)=0</formula>
    </cfRule>
  </conditionalFormatting>
  <conditionalFormatting sqref="B36:B39">
    <cfRule type="expression" dxfId="226" priority="3">
      <formula>MOD(ROW(),2)=0</formula>
    </cfRule>
  </conditionalFormatting>
  <conditionalFormatting sqref="B38">
    <cfRule type="expression" dxfId="225" priority="1">
      <formula>MOD(ROW(),2)=0</formula>
    </cfRule>
    <cfRule type="expression" dxfId="224" priority="2">
      <formula>MOD(ROW(),2)=0</formula>
    </cfRule>
  </conditionalFormatting>
  <conditionalFormatting sqref="B39">
    <cfRule type="expression" dxfId="223" priority="4">
      <formula>MOD(ROW(),2)=0</formula>
    </cfRule>
    <cfRule type="expression" dxfId="222" priority="5">
      <formula>MOD(ROW(),2)=0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D7E9-ABF8-44A2-BB90-B10173CFF3B6}">
  <dimension ref="A1:E44"/>
  <sheetViews>
    <sheetView topLeftCell="A31" workbookViewId="0">
      <selection activeCell="B37" sqref="B37"/>
    </sheetView>
  </sheetViews>
  <sheetFormatPr defaultRowHeight="14.5" x14ac:dyDescent="0.35"/>
  <cols>
    <col min="1" max="1" width="9.36328125" style="4" customWidth="1"/>
    <col min="2" max="2" width="21.08984375" bestFit="1" customWidth="1"/>
    <col min="3" max="3" width="13.6328125" customWidth="1"/>
    <col min="4" max="4" width="21.08984375" bestFit="1" customWidth="1"/>
    <col min="5" max="5" width="10.08984375" bestFit="1" customWidth="1"/>
  </cols>
  <sheetData>
    <row r="1" spans="1:5" s="16" customFormat="1" x14ac:dyDescent="0.35">
      <c r="A1" s="66" t="s">
        <v>571</v>
      </c>
      <c r="D1" s="67">
        <v>46159</v>
      </c>
    </row>
    <row r="2" spans="1:5" ht="43.5" x14ac:dyDescent="0.35">
      <c r="A2" s="13" t="s">
        <v>0</v>
      </c>
      <c r="B2" s="61" t="s">
        <v>102</v>
      </c>
      <c r="C2" s="62" t="s">
        <v>104</v>
      </c>
      <c r="D2" s="62" t="s">
        <v>105</v>
      </c>
      <c r="E2" s="62" t="s">
        <v>106</v>
      </c>
    </row>
    <row r="3" spans="1:5" x14ac:dyDescent="0.35">
      <c r="A3" s="3">
        <v>1</v>
      </c>
      <c r="B3" s="64" t="s">
        <v>528</v>
      </c>
      <c r="C3" s="64" t="s">
        <v>512</v>
      </c>
      <c r="D3" s="1" t="s">
        <v>149</v>
      </c>
      <c r="E3" s="1" t="s">
        <v>96</v>
      </c>
    </row>
    <row r="4" spans="1:5" x14ac:dyDescent="0.35">
      <c r="A4" s="3">
        <v>2</v>
      </c>
      <c r="B4" s="64" t="s">
        <v>228</v>
      </c>
      <c r="C4" s="64" t="s">
        <v>512</v>
      </c>
      <c r="D4" s="1" t="s">
        <v>149</v>
      </c>
      <c r="E4" s="1" t="s">
        <v>96</v>
      </c>
    </row>
    <row r="5" spans="1:5" x14ac:dyDescent="0.35">
      <c r="A5" s="3">
        <v>3</v>
      </c>
      <c r="B5" s="64" t="s">
        <v>532</v>
      </c>
      <c r="C5" s="64" t="s">
        <v>520</v>
      </c>
      <c r="D5" s="1" t="s">
        <v>149</v>
      </c>
      <c r="E5" s="1" t="s">
        <v>96</v>
      </c>
    </row>
    <row r="6" spans="1:5" x14ac:dyDescent="0.35">
      <c r="A6" s="3">
        <v>4</v>
      </c>
      <c r="B6" s="64" t="s">
        <v>531</v>
      </c>
      <c r="C6" s="64" t="s">
        <v>530</v>
      </c>
      <c r="D6" s="1" t="s">
        <v>149</v>
      </c>
      <c r="E6" s="1" t="s">
        <v>96</v>
      </c>
    </row>
    <row r="7" spans="1:5" x14ac:dyDescent="0.35">
      <c r="A7" s="3">
        <v>5</v>
      </c>
      <c r="B7" s="64" t="s">
        <v>529</v>
      </c>
      <c r="C7" s="64" t="s">
        <v>512</v>
      </c>
      <c r="D7" s="1" t="s">
        <v>149</v>
      </c>
      <c r="E7" s="1" t="s">
        <v>96</v>
      </c>
    </row>
    <row r="8" spans="1:5" x14ac:dyDescent="0.35">
      <c r="A8" s="3">
        <v>6</v>
      </c>
      <c r="B8" s="64" t="s">
        <v>528</v>
      </c>
      <c r="C8" s="64" t="s">
        <v>520</v>
      </c>
      <c r="D8" s="1" t="s">
        <v>149</v>
      </c>
      <c r="E8" s="1" t="s">
        <v>96</v>
      </c>
    </row>
    <row r="9" spans="1:5" x14ac:dyDescent="0.35">
      <c r="A9" s="3">
        <v>7</v>
      </c>
      <c r="B9" s="64" t="s">
        <v>527</v>
      </c>
      <c r="C9" s="64" t="s">
        <v>526</v>
      </c>
      <c r="D9" s="1" t="s">
        <v>149</v>
      </c>
      <c r="E9" s="1" t="s">
        <v>96</v>
      </c>
    </row>
    <row r="10" spans="1:5" x14ac:dyDescent="0.35">
      <c r="A10" s="3">
        <v>8</v>
      </c>
      <c r="B10" s="64" t="s">
        <v>525</v>
      </c>
      <c r="C10" s="64" t="s">
        <v>512</v>
      </c>
      <c r="D10" s="1" t="s">
        <v>149</v>
      </c>
      <c r="E10" s="1" t="s">
        <v>96</v>
      </c>
    </row>
    <row r="11" spans="1:5" x14ac:dyDescent="0.35">
      <c r="A11" s="3">
        <v>9</v>
      </c>
      <c r="B11" s="64" t="s">
        <v>499</v>
      </c>
      <c r="C11" s="64" t="s">
        <v>520</v>
      </c>
      <c r="D11" s="1" t="s">
        <v>149</v>
      </c>
      <c r="E11" s="1" t="s">
        <v>96</v>
      </c>
    </row>
    <row r="12" spans="1:5" x14ac:dyDescent="0.35">
      <c r="A12" s="3">
        <v>10</v>
      </c>
      <c r="B12" s="64" t="s">
        <v>524</v>
      </c>
      <c r="C12" s="64" t="s">
        <v>512</v>
      </c>
      <c r="D12" s="1" t="s">
        <v>149</v>
      </c>
      <c r="E12" s="1" t="s">
        <v>96</v>
      </c>
    </row>
    <row r="13" spans="1:5" x14ac:dyDescent="0.35">
      <c r="A13" s="3">
        <v>11</v>
      </c>
      <c r="B13" s="64" t="s">
        <v>523</v>
      </c>
      <c r="C13" s="64" t="s">
        <v>512</v>
      </c>
      <c r="D13" s="1" t="s">
        <v>149</v>
      </c>
      <c r="E13" s="1" t="s">
        <v>96</v>
      </c>
    </row>
    <row r="14" spans="1:5" x14ac:dyDescent="0.35">
      <c r="A14" s="3">
        <v>12</v>
      </c>
      <c r="B14" s="64" t="s">
        <v>522</v>
      </c>
      <c r="C14" s="64" t="s">
        <v>520</v>
      </c>
      <c r="D14" s="1" t="s">
        <v>149</v>
      </c>
      <c r="E14" s="1" t="s">
        <v>96</v>
      </c>
    </row>
    <row r="15" spans="1:5" x14ac:dyDescent="0.35">
      <c r="A15" s="3">
        <v>13</v>
      </c>
      <c r="B15" s="64" t="s">
        <v>521</v>
      </c>
      <c r="C15" s="64" t="s">
        <v>520</v>
      </c>
      <c r="D15" s="1" t="s">
        <v>149</v>
      </c>
      <c r="E15" s="1" t="s">
        <v>96</v>
      </c>
    </row>
    <row r="16" spans="1:5" x14ac:dyDescent="0.35">
      <c r="A16" s="3">
        <v>14</v>
      </c>
      <c r="B16" s="64" t="s">
        <v>200</v>
      </c>
      <c r="C16" s="64" t="s">
        <v>512</v>
      </c>
      <c r="D16" s="1" t="s">
        <v>149</v>
      </c>
      <c r="E16" s="1" t="s">
        <v>97</v>
      </c>
    </row>
    <row r="17" spans="1:5" ht="29" x14ac:dyDescent="0.35">
      <c r="A17" s="3">
        <v>15</v>
      </c>
      <c r="B17" s="64" t="s">
        <v>223</v>
      </c>
      <c r="C17" s="64" t="s">
        <v>519</v>
      </c>
      <c r="D17" s="1" t="s">
        <v>149</v>
      </c>
      <c r="E17" s="1" t="s">
        <v>96</v>
      </c>
    </row>
    <row r="18" spans="1:5" x14ac:dyDescent="0.35">
      <c r="A18" s="3">
        <v>16</v>
      </c>
      <c r="B18" s="64" t="s">
        <v>518</v>
      </c>
      <c r="C18" s="64" t="s">
        <v>498</v>
      </c>
      <c r="D18" s="1" t="s">
        <v>149</v>
      </c>
      <c r="E18" s="1" t="s">
        <v>96</v>
      </c>
    </row>
    <row r="19" spans="1:5" x14ac:dyDescent="0.35">
      <c r="A19" s="3">
        <v>17</v>
      </c>
      <c r="B19" s="64" t="s">
        <v>517</v>
      </c>
      <c r="C19" s="64" t="s">
        <v>403</v>
      </c>
      <c r="D19" s="1" t="s">
        <v>149</v>
      </c>
      <c r="E19" s="1" t="s">
        <v>96</v>
      </c>
    </row>
    <row r="20" spans="1:5" x14ac:dyDescent="0.35">
      <c r="A20" s="3">
        <v>18</v>
      </c>
      <c r="B20" s="64" t="s">
        <v>516</v>
      </c>
      <c r="C20" s="64" t="s">
        <v>510</v>
      </c>
      <c r="D20" s="1" t="s">
        <v>149</v>
      </c>
      <c r="E20" s="1" t="s">
        <v>96</v>
      </c>
    </row>
    <row r="21" spans="1:5" x14ac:dyDescent="0.35">
      <c r="A21" s="3">
        <v>19</v>
      </c>
      <c r="B21" s="64" t="s">
        <v>515</v>
      </c>
      <c r="C21" s="64" t="s">
        <v>510</v>
      </c>
      <c r="D21" s="1" t="s">
        <v>149</v>
      </c>
      <c r="E21" s="1" t="s">
        <v>96</v>
      </c>
    </row>
    <row r="22" spans="1:5" x14ac:dyDescent="0.35">
      <c r="A22" s="3">
        <v>20</v>
      </c>
      <c r="B22" s="64" t="s">
        <v>514</v>
      </c>
      <c r="C22" s="64" t="s">
        <v>510</v>
      </c>
      <c r="D22" s="1" t="s">
        <v>149</v>
      </c>
      <c r="E22" s="1" t="s">
        <v>96</v>
      </c>
    </row>
    <row r="23" spans="1:5" x14ac:dyDescent="0.35">
      <c r="A23" s="3">
        <v>21</v>
      </c>
      <c r="B23" s="64" t="s">
        <v>513</v>
      </c>
      <c r="C23" s="64" t="s">
        <v>512</v>
      </c>
      <c r="D23" s="1" t="s">
        <v>149</v>
      </c>
      <c r="E23" s="1" t="s">
        <v>96</v>
      </c>
    </row>
    <row r="24" spans="1:5" x14ac:dyDescent="0.35">
      <c r="A24" s="3">
        <v>22</v>
      </c>
      <c r="B24" s="64" t="s">
        <v>511</v>
      </c>
      <c r="C24" s="64" t="s">
        <v>510</v>
      </c>
      <c r="D24" s="1" t="s">
        <v>149</v>
      </c>
      <c r="E24" s="1" t="s">
        <v>96</v>
      </c>
    </row>
    <row r="25" spans="1:5" x14ac:dyDescent="0.35">
      <c r="A25" s="3">
        <v>23</v>
      </c>
      <c r="B25" s="64" t="s">
        <v>509</v>
      </c>
      <c r="C25" s="64" t="s">
        <v>498</v>
      </c>
      <c r="D25" s="1" t="s">
        <v>179</v>
      </c>
      <c r="E25" s="1" t="s">
        <v>97</v>
      </c>
    </row>
    <row r="26" spans="1:5" x14ac:dyDescent="0.35">
      <c r="A26" s="3">
        <v>24</v>
      </c>
      <c r="B26" s="64" t="s">
        <v>508</v>
      </c>
      <c r="C26" s="64" t="s">
        <v>498</v>
      </c>
      <c r="D26" s="1" t="s">
        <v>149</v>
      </c>
      <c r="E26" s="1" t="s">
        <v>97</v>
      </c>
    </row>
    <row r="27" spans="1:5" x14ac:dyDescent="0.35">
      <c r="A27" s="3">
        <v>25</v>
      </c>
      <c r="B27" s="64" t="s">
        <v>507</v>
      </c>
      <c r="C27" s="64" t="s">
        <v>498</v>
      </c>
      <c r="D27" s="1" t="s">
        <v>149</v>
      </c>
      <c r="E27" s="1" t="s">
        <v>96</v>
      </c>
    </row>
    <row r="28" spans="1:5" x14ac:dyDescent="0.35">
      <c r="A28" s="3">
        <v>26</v>
      </c>
      <c r="B28" s="64" t="s">
        <v>506</v>
      </c>
      <c r="C28" s="64" t="s">
        <v>503</v>
      </c>
      <c r="D28" s="1" t="s">
        <v>149</v>
      </c>
      <c r="E28" s="1" t="s">
        <v>96</v>
      </c>
    </row>
    <row r="29" spans="1:5" x14ac:dyDescent="0.35">
      <c r="A29" s="3">
        <v>27</v>
      </c>
      <c r="B29" s="64" t="s">
        <v>505</v>
      </c>
      <c r="C29" s="64" t="s">
        <v>498</v>
      </c>
      <c r="D29" s="1" t="s">
        <v>149</v>
      </c>
      <c r="E29" s="1" t="s">
        <v>97</v>
      </c>
    </row>
    <row r="30" spans="1:5" x14ac:dyDescent="0.35">
      <c r="A30" s="3">
        <v>28</v>
      </c>
      <c r="B30" s="64" t="s">
        <v>261</v>
      </c>
      <c r="C30" s="64" t="s">
        <v>498</v>
      </c>
      <c r="D30" s="1" t="s">
        <v>149</v>
      </c>
      <c r="E30" s="1" t="s">
        <v>96</v>
      </c>
    </row>
    <row r="31" spans="1:5" x14ac:dyDescent="0.35">
      <c r="A31" s="3">
        <v>29</v>
      </c>
      <c r="B31" s="64" t="s">
        <v>504</v>
      </c>
      <c r="C31" s="64" t="s">
        <v>503</v>
      </c>
      <c r="D31" s="1" t="s">
        <v>149</v>
      </c>
      <c r="E31" s="1" t="s">
        <v>97</v>
      </c>
    </row>
    <row r="32" spans="1:5" ht="29" x14ac:dyDescent="0.35">
      <c r="A32" s="3">
        <v>30</v>
      </c>
      <c r="B32" s="64" t="s">
        <v>258</v>
      </c>
      <c r="C32" s="64" t="s">
        <v>502</v>
      </c>
      <c r="D32" s="1" t="s">
        <v>149</v>
      </c>
      <c r="E32" s="1" t="s">
        <v>97</v>
      </c>
    </row>
    <row r="33" spans="1:5" x14ac:dyDescent="0.35">
      <c r="A33" s="3">
        <v>31</v>
      </c>
      <c r="B33" s="64" t="s">
        <v>501</v>
      </c>
      <c r="C33" s="64" t="s">
        <v>500</v>
      </c>
      <c r="D33" s="1" t="s">
        <v>149</v>
      </c>
      <c r="E33" s="1" t="s">
        <v>96</v>
      </c>
    </row>
    <row r="34" spans="1:5" x14ac:dyDescent="0.35">
      <c r="A34" s="3">
        <v>32</v>
      </c>
      <c r="B34" s="64" t="s">
        <v>499</v>
      </c>
      <c r="C34" s="64" t="s">
        <v>498</v>
      </c>
      <c r="D34" s="1" t="s">
        <v>149</v>
      </c>
      <c r="E34" s="1" t="s">
        <v>96</v>
      </c>
    </row>
    <row r="35" spans="1:5" x14ac:dyDescent="0.35">
      <c r="A35" s="3">
        <v>33</v>
      </c>
      <c r="B35" s="64" t="s">
        <v>497</v>
      </c>
      <c r="C35" s="64" t="s">
        <v>58</v>
      </c>
      <c r="D35" s="1" t="s">
        <v>149</v>
      </c>
      <c r="E35" s="1" t="s">
        <v>96</v>
      </c>
    </row>
    <row r="36" spans="1:5" x14ac:dyDescent="0.35">
      <c r="A36" s="3">
        <v>34</v>
      </c>
      <c r="B36" s="64" t="s">
        <v>224</v>
      </c>
      <c r="C36" s="64" t="s">
        <v>58</v>
      </c>
      <c r="D36" s="1" t="s">
        <v>179</v>
      </c>
      <c r="E36" s="1" t="s">
        <v>97</v>
      </c>
    </row>
    <row r="37" spans="1:5" x14ac:dyDescent="0.35">
      <c r="A37" s="3">
        <v>35</v>
      </c>
      <c r="B37" s="64" t="s">
        <v>496</v>
      </c>
      <c r="C37" s="64" t="s">
        <v>495</v>
      </c>
      <c r="D37" s="1" t="s">
        <v>149</v>
      </c>
      <c r="E37" s="1" t="s">
        <v>96</v>
      </c>
    </row>
    <row r="39" spans="1:5" x14ac:dyDescent="0.35">
      <c r="B39" s="1" t="s">
        <v>179</v>
      </c>
      <c r="C39" s="1" t="s">
        <v>97</v>
      </c>
      <c r="D39" s="1">
        <f>COUNTIFS($E$3:$E$37,C39,$D$3:$D$37,B39)-1</f>
        <v>1</v>
      </c>
    </row>
    <row r="40" spans="1:5" x14ac:dyDescent="0.35">
      <c r="B40" s="1" t="s">
        <v>179</v>
      </c>
      <c r="C40" s="1" t="s">
        <v>96</v>
      </c>
      <c r="D40" s="1">
        <f t="shared" ref="D40:D41" si="0">COUNTIFS($E$3:$E$37,C40,$D$3:$D$37,B40)</f>
        <v>0</v>
      </c>
    </row>
    <row r="41" spans="1:5" x14ac:dyDescent="0.35">
      <c r="B41" s="1" t="s">
        <v>149</v>
      </c>
      <c r="C41" s="1" t="s">
        <v>97</v>
      </c>
      <c r="D41" s="1">
        <f t="shared" si="0"/>
        <v>5</v>
      </c>
    </row>
    <row r="42" spans="1:5" x14ac:dyDescent="0.35">
      <c r="B42" s="1" t="s">
        <v>149</v>
      </c>
      <c r="C42" s="1" t="s">
        <v>96</v>
      </c>
      <c r="D42" s="1">
        <f>COUNTIFS($E$3:$E$37,C42,$D$3:$D$37,B42)-1</f>
        <v>27</v>
      </c>
    </row>
    <row r="44" spans="1:5" x14ac:dyDescent="0.35">
      <c r="B44" t="s">
        <v>58</v>
      </c>
      <c r="C44">
        <v>2</v>
      </c>
    </row>
  </sheetData>
  <autoFilter ref="A2:E37" xr:uid="{F197FCC6-0B0A-4AC8-A957-9234B97F9BCC}"/>
  <conditionalFormatting sqref="B39:B40">
    <cfRule type="expression" dxfId="221" priority="6">
      <formula>MOD(ROW(),2)=0</formula>
    </cfRule>
    <cfRule type="expression" dxfId="220" priority="7">
      <formula>MOD(ROW(),2)=0</formula>
    </cfRule>
  </conditionalFormatting>
  <conditionalFormatting sqref="B39:B42">
    <cfRule type="expression" dxfId="219" priority="3">
      <formula>MOD(ROW(),2)=0</formula>
    </cfRule>
  </conditionalFormatting>
  <conditionalFormatting sqref="B41">
    <cfRule type="expression" dxfId="218" priority="1">
      <formula>MOD(ROW(),2)=0</formula>
    </cfRule>
    <cfRule type="expression" dxfId="217" priority="2">
      <formula>MOD(ROW(),2)=0</formula>
    </cfRule>
  </conditionalFormatting>
  <conditionalFormatting sqref="B42">
    <cfRule type="expression" dxfId="216" priority="4">
      <formula>MOD(ROW(),2)=0</formula>
    </cfRule>
    <cfRule type="expression" dxfId="215" priority="5">
      <formula>MOD(ROW(),2)=0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FCC6-0B0A-4AC8-A957-9234B97F9BCC}">
  <dimension ref="A1:E37"/>
  <sheetViews>
    <sheetView workbookViewId="0">
      <selection activeCell="J28" sqref="J28"/>
    </sheetView>
  </sheetViews>
  <sheetFormatPr defaultRowHeight="14.5" x14ac:dyDescent="0.35"/>
  <cols>
    <col min="1" max="1" width="9.36328125" style="4" customWidth="1"/>
    <col min="2" max="2" width="21.08984375" bestFit="1" customWidth="1"/>
    <col min="3" max="3" width="13.6328125" customWidth="1"/>
    <col min="4" max="4" width="21.08984375" bestFit="1" customWidth="1"/>
    <col min="5" max="5" width="10.08984375" bestFit="1" customWidth="1"/>
  </cols>
  <sheetData>
    <row r="1" spans="1:5" s="16" customFormat="1" x14ac:dyDescent="0.35">
      <c r="A1" s="66" t="s">
        <v>410</v>
      </c>
      <c r="D1" s="67">
        <v>46035</v>
      </c>
    </row>
    <row r="2" spans="1:5" ht="43.5" x14ac:dyDescent="0.35">
      <c r="A2" s="13" t="s">
        <v>0</v>
      </c>
      <c r="B2" s="61" t="s">
        <v>102</v>
      </c>
      <c r="C2" s="62" t="s">
        <v>104</v>
      </c>
      <c r="D2" s="62" t="s">
        <v>105</v>
      </c>
      <c r="E2" s="62" t="s">
        <v>106</v>
      </c>
    </row>
    <row r="3" spans="1:5" x14ac:dyDescent="0.35">
      <c r="A3" s="3">
        <v>1</v>
      </c>
      <c r="B3" s="1" t="s">
        <v>68</v>
      </c>
      <c r="C3" s="1" t="s">
        <v>160</v>
      </c>
      <c r="D3" s="1" t="s">
        <v>149</v>
      </c>
      <c r="E3" s="1" t="s">
        <v>96</v>
      </c>
    </row>
    <row r="4" spans="1:5" x14ac:dyDescent="0.35">
      <c r="A4" s="3">
        <v>2</v>
      </c>
      <c r="B4" s="1" t="s">
        <v>77</v>
      </c>
      <c r="C4" s="1" t="s">
        <v>89</v>
      </c>
      <c r="D4" s="1" t="s">
        <v>149</v>
      </c>
      <c r="E4" s="1" t="s">
        <v>96</v>
      </c>
    </row>
    <row r="5" spans="1:5" x14ac:dyDescent="0.35">
      <c r="A5" s="3">
        <v>3</v>
      </c>
      <c r="B5" s="1" t="s">
        <v>152</v>
      </c>
      <c r="C5" s="1" t="s">
        <v>161</v>
      </c>
      <c r="D5" s="1" t="s">
        <v>149</v>
      </c>
      <c r="E5" s="1" t="s">
        <v>96</v>
      </c>
    </row>
    <row r="6" spans="1:5" x14ac:dyDescent="0.35">
      <c r="A6" s="3">
        <v>4</v>
      </c>
      <c r="B6" s="1" t="s">
        <v>153</v>
      </c>
      <c r="C6" s="1" t="s">
        <v>91</v>
      </c>
      <c r="D6" s="1" t="s">
        <v>149</v>
      </c>
      <c r="E6" s="1" t="s">
        <v>96</v>
      </c>
    </row>
    <row r="7" spans="1:5" x14ac:dyDescent="0.35">
      <c r="A7" s="3">
        <v>5</v>
      </c>
      <c r="B7" s="1" t="s">
        <v>165</v>
      </c>
      <c r="C7" s="1" t="s">
        <v>91</v>
      </c>
      <c r="D7" s="1" t="s">
        <v>149</v>
      </c>
      <c r="E7" s="1" t="s">
        <v>96</v>
      </c>
    </row>
    <row r="8" spans="1:5" x14ac:dyDescent="0.35">
      <c r="A8" s="3">
        <v>6</v>
      </c>
      <c r="B8" s="1" t="s">
        <v>154</v>
      </c>
      <c r="C8" s="1" t="s">
        <v>91</v>
      </c>
      <c r="D8" s="1" t="s">
        <v>149</v>
      </c>
      <c r="E8" s="1" t="s">
        <v>96</v>
      </c>
    </row>
    <row r="9" spans="1:5" x14ac:dyDescent="0.35">
      <c r="A9" s="3">
        <v>7</v>
      </c>
      <c r="B9" s="1" t="s">
        <v>166</v>
      </c>
      <c r="C9" s="1" t="s">
        <v>170</v>
      </c>
      <c r="D9" s="1" t="s">
        <v>149</v>
      </c>
      <c r="E9" s="1" t="s">
        <v>96</v>
      </c>
    </row>
    <row r="10" spans="1:5" x14ac:dyDescent="0.35">
      <c r="A10" s="3">
        <v>8</v>
      </c>
      <c r="B10" s="1" t="s">
        <v>113</v>
      </c>
      <c r="C10" s="1" t="s">
        <v>162</v>
      </c>
      <c r="D10" s="1" t="s">
        <v>149</v>
      </c>
      <c r="E10" s="1" t="s">
        <v>97</v>
      </c>
    </row>
    <row r="11" spans="1:5" x14ac:dyDescent="0.35">
      <c r="A11" s="3">
        <v>9</v>
      </c>
      <c r="B11" s="1" t="s">
        <v>167</v>
      </c>
      <c r="C11" s="1" t="s">
        <v>161</v>
      </c>
      <c r="D11" s="1" t="s">
        <v>149</v>
      </c>
      <c r="E11" s="1" t="s">
        <v>97</v>
      </c>
    </row>
    <row r="12" spans="1:5" x14ac:dyDescent="0.35">
      <c r="A12" s="3">
        <v>10</v>
      </c>
      <c r="B12" s="1" t="s">
        <v>168</v>
      </c>
      <c r="C12" s="1" t="s">
        <v>163</v>
      </c>
      <c r="D12" s="1" t="s">
        <v>149</v>
      </c>
      <c r="E12" s="1" t="s">
        <v>96</v>
      </c>
    </row>
    <row r="13" spans="1:5" x14ac:dyDescent="0.35">
      <c r="A13" s="3">
        <v>11</v>
      </c>
      <c r="B13" s="1" t="s">
        <v>155</v>
      </c>
      <c r="C13" s="1" t="s">
        <v>76</v>
      </c>
      <c r="D13" s="1" t="s">
        <v>149</v>
      </c>
      <c r="E13" s="1" t="s">
        <v>96</v>
      </c>
    </row>
    <row r="14" spans="1:5" x14ac:dyDescent="0.35">
      <c r="A14" s="3">
        <v>12</v>
      </c>
      <c r="B14" s="1" t="s">
        <v>75</v>
      </c>
      <c r="C14" s="1" t="s">
        <v>76</v>
      </c>
      <c r="D14" s="1" t="s">
        <v>149</v>
      </c>
      <c r="E14" s="1" t="s">
        <v>96</v>
      </c>
    </row>
    <row r="15" spans="1:5" x14ac:dyDescent="0.35">
      <c r="A15" s="3">
        <v>13</v>
      </c>
      <c r="B15" s="1" t="s">
        <v>156</v>
      </c>
      <c r="C15" s="1" t="s">
        <v>163</v>
      </c>
      <c r="D15" s="1" t="s">
        <v>149</v>
      </c>
      <c r="E15" s="1" t="s">
        <v>96</v>
      </c>
    </row>
    <row r="16" spans="1:5" x14ac:dyDescent="0.35">
      <c r="A16" s="3">
        <v>14</v>
      </c>
      <c r="B16" s="1" t="s">
        <v>157</v>
      </c>
      <c r="C16" s="1" t="s">
        <v>74</v>
      </c>
      <c r="D16" s="1" t="s">
        <v>149</v>
      </c>
      <c r="E16" s="1" t="s">
        <v>96</v>
      </c>
    </row>
    <row r="17" spans="1:5" x14ac:dyDescent="0.35">
      <c r="A17" s="3">
        <v>15</v>
      </c>
      <c r="B17" s="1" t="s">
        <v>169</v>
      </c>
      <c r="C17" s="1" t="s">
        <v>95</v>
      </c>
      <c r="D17" s="1" t="s">
        <v>149</v>
      </c>
      <c r="E17" s="1" t="s">
        <v>96</v>
      </c>
    </row>
    <row r="18" spans="1:5" x14ac:dyDescent="0.35">
      <c r="A18" s="3">
        <v>16</v>
      </c>
      <c r="B18" s="1" t="s">
        <v>158</v>
      </c>
      <c r="C18" s="1" t="s">
        <v>95</v>
      </c>
      <c r="D18" s="1" t="s">
        <v>149</v>
      </c>
      <c r="E18" s="1" t="s">
        <v>97</v>
      </c>
    </row>
    <row r="19" spans="1:5" x14ac:dyDescent="0.35">
      <c r="A19" s="3">
        <v>17</v>
      </c>
      <c r="B19" s="1" t="s">
        <v>171</v>
      </c>
      <c r="C19" s="1" t="s">
        <v>162</v>
      </c>
      <c r="D19" s="1" t="s">
        <v>149</v>
      </c>
      <c r="E19" s="1" t="s">
        <v>97</v>
      </c>
    </row>
    <row r="20" spans="1:5" x14ac:dyDescent="0.35">
      <c r="A20" s="3">
        <v>18</v>
      </c>
      <c r="B20" s="1" t="s">
        <v>159</v>
      </c>
      <c r="C20" s="1" t="s">
        <v>162</v>
      </c>
      <c r="D20" s="1" t="s">
        <v>149</v>
      </c>
      <c r="E20" s="1" t="s">
        <v>97</v>
      </c>
    </row>
    <row r="21" spans="1:5" x14ac:dyDescent="0.35">
      <c r="A21" s="3">
        <v>19</v>
      </c>
      <c r="B21" s="1" t="s">
        <v>172</v>
      </c>
      <c r="C21" s="1" t="s">
        <v>69</v>
      </c>
      <c r="D21" s="1" t="s">
        <v>179</v>
      </c>
      <c r="E21" s="1" t="s">
        <v>97</v>
      </c>
    </row>
    <row r="22" spans="1:5" x14ac:dyDescent="0.35">
      <c r="A22" s="3">
        <v>20</v>
      </c>
      <c r="B22" s="1" t="s">
        <v>173</v>
      </c>
      <c r="C22" s="1" t="s">
        <v>69</v>
      </c>
      <c r="D22" s="1" t="s">
        <v>149</v>
      </c>
      <c r="E22" s="1" t="s">
        <v>96</v>
      </c>
    </row>
    <row r="23" spans="1:5" x14ac:dyDescent="0.35">
      <c r="A23" s="3">
        <v>21</v>
      </c>
      <c r="B23" s="1" t="s">
        <v>60</v>
      </c>
      <c r="C23" s="1" t="s">
        <v>69</v>
      </c>
      <c r="D23" s="1" t="s">
        <v>149</v>
      </c>
      <c r="E23" s="1" t="s">
        <v>96</v>
      </c>
    </row>
    <row r="24" spans="1:5" x14ac:dyDescent="0.35">
      <c r="A24" s="3">
        <v>22</v>
      </c>
      <c r="B24" s="1" t="s">
        <v>174</v>
      </c>
      <c r="C24" s="1" t="s">
        <v>178</v>
      </c>
      <c r="D24" s="1" t="s">
        <v>149</v>
      </c>
      <c r="E24" s="1" t="s">
        <v>97</v>
      </c>
    </row>
    <row r="25" spans="1:5" x14ac:dyDescent="0.35">
      <c r="A25" s="3">
        <v>23</v>
      </c>
      <c r="B25" s="1" t="s">
        <v>175</v>
      </c>
      <c r="C25" s="1" t="s">
        <v>162</v>
      </c>
      <c r="D25" s="1" t="s">
        <v>149</v>
      </c>
      <c r="E25" s="1" t="s">
        <v>97</v>
      </c>
    </row>
    <row r="26" spans="1:5" x14ac:dyDescent="0.35">
      <c r="A26" s="3">
        <v>24</v>
      </c>
      <c r="B26" s="1" t="s">
        <v>176</v>
      </c>
      <c r="C26" s="1" t="s">
        <v>164</v>
      </c>
      <c r="D26" s="1" t="s">
        <v>149</v>
      </c>
      <c r="E26" s="1" t="s">
        <v>96</v>
      </c>
    </row>
    <row r="27" spans="1:5" x14ac:dyDescent="0.35">
      <c r="A27" s="3">
        <v>25</v>
      </c>
      <c r="B27" s="1" t="s">
        <v>177</v>
      </c>
      <c r="C27" s="1" t="s">
        <v>58</v>
      </c>
      <c r="D27" s="1" t="s">
        <v>149</v>
      </c>
      <c r="E27" s="1" t="s">
        <v>96</v>
      </c>
    </row>
    <row r="28" spans="1:5" x14ac:dyDescent="0.35">
      <c r="A28" s="3">
        <v>26</v>
      </c>
      <c r="B28" s="1" t="s">
        <v>130</v>
      </c>
      <c r="C28" s="1" t="s">
        <v>58</v>
      </c>
      <c r="D28" s="1" t="s">
        <v>149</v>
      </c>
      <c r="E28" s="1" t="s">
        <v>96</v>
      </c>
    </row>
    <row r="29" spans="1:5" x14ac:dyDescent="0.35">
      <c r="A29" s="3">
        <v>27</v>
      </c>
      <c r="B29" s="1" t="s">
        <v>88</v>
      </c>
      <c r="C29" s="1" t="s">
        <v>58</v>
      </c>
      <c r="D29" s="1" t="s">
        <v>179</v>
      </c>
      <c r="E29" s="1" t="s">
        <v>97</v>
      </c>
    </row>
    <row r="32" spans="1:5" x14ac:dyDescent="0.35">
      <c r="B32" s="1" t="s">
        <v>179</v>
      </c>
      <c r="C32" s="1" t="s">
        <v>97</v>
      </c>
      <c r="D32" s="1">
        <f>COUNTIFS($E$3:$E$37,C32,$D$3:$D$37,B32)-1</f>
        <v>1</v>
      </c>
      <c r="E32" s="1"/>
    </row>
    <row r="33" spans="2:5" x14ac:dyDescent="0.35">
      <c r="B33" s="1" t="s">
        <v>179</v>
      </c>
      <c r="C33" s="1" t="s">
        <v>96</v>
      </c>
      <c r="D33" s="1">
        <f t="shared" ref="D33:D34" si="0">COUNTIFS($E$3:$E$37,C33,$D$3:$D$37,B33)</f>
        <v>0</v>
      </c>
      <c r="E33" s="1"/>
    </row>
    <row r="34" spans="2:5" x14ac:dyDescent="0.35">
      <c r="B34" s="1" t="s">
        <v>149</v>
      </c>
      <c r="C34" s="1" t="s">
        <v>97</v>
      </c>
      <c r="D34" s="1">
        <f t="shared" si="0"/>
        <v>7</v>
      </c>
      <c r="E34" s="1"/>
    </row>
    <row r="35" spans="2:5" x14ac:dyDescent="0.35">
      <c r="B35" s="1" t="s">
        <v>149</v>
      </c>
      <c r="C35" s="1" t="s">
        <v>96</v>
      </c>
      <c r="D35" s="1">
        <f>COUNTIFS($E$3:$E$37,C35,$D$3:$D$37,B35)-2</f>
        <v>16</v>
      </c>
      <c r="E35" s="1"/>
    </row>
    <row r="36" spans="2:5" x14ac:dyDescent="0.35">
      <c r="D36">
        <f>SUM(D32:D35)</f>
        <v>24</v>
      </c>
    </row>
    <row r="37" spans="2:5" x14ac:dyDescent="0.35">
      <c r="B37" t="s">
        <v>421</v>
      </c>
    </row>
  </sheetData>
  <autoFilter ref="A2:E29" xr:uid="{F197FCC6-0B0A-4AC8-A957-9234B97F9BCC}"/>
  <conditionalFormatting sqref="B32:B33">
    <cfRule type="expression" dxfId="214" priority="6">
      <formula>MOD(ROW(),2)=0</formula>
    </cfRule>
    <cfRule type="expression" dxfId="213" priority="7">
      <formula>MOD(ROW(),2)=0</formula>
    </cfRule>
  </conditionalFormatting>
  <conditionalFormatting sqref="B32:B35">
    <cfRule type="expression" dxfId="212" priority="3">
      <formula>MOD(ROW(),2)=0</formula>
    </cfRule>
  </conditionalFormatting>
  <conditionalFormatting sqref="B34">
    <cfRule type="expression" dxfId="211" priority="1">
      <formula>MOD(ROW(),2)=0</formula>
    </cfRule>
    <cfRule type="expression" dxfId="210" priority="2">
      <formula>MOD(ROW(),2)=0</formula>
    </cfRule>
  </conditionalFormatting>
  <conditionalFormatting sqref="B35">
    <cfRule type="expression" dxfId="209" priority="4">
      <formula>MOD(ROW(),2)=0</formula>
    </cfRule>
    <cfRule type="expression" dxfId="208" priority="5">
      <formula>MOD(ROW(),2)=0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7011-5D13-4735-9895-55AF7E1D96AA}">
  <dimension ref="A1:F46"/>
  <sheetViews>
    <sheetView zoomScaleNormal="100" workbookViewId="0">
      <selection sqref="A1:XFD1048576"/>
    </sheetView>
  </sheetViews>
  <sheetFormatPr defaultRowHeight="14.5" x14ac:dyDescent="0.35"/>
  <cols>
    <col min="2" max="3" width="29.6328125" customWidth="1"/>
    <col min="4" max="4" width="18.453125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411</v>
      </c>
      <c r="E1" s="16" t="s">
        <v>412</v>
      </c>
    </row>
    <row r="2" spans="1:6" s="16" customFormat="1" ht="29" x14ac:dyDescent="0.35">
      <c r="A2" s="13" t="s">
        <v>0</v>
      </c>
      <c r="B2" s="65" t="s">
        <v>102</v>
      </c>
      <c r="C2" s="62" t="s">
        <v>104</v>
      </c>
      <c r="D2" s="63" t="s">
        <v>492</v>
      </c>
      <c r="E2" s="62" t="s">
        <v>105</v>
      </c>
      <c r="F2" s="62" t="s">
        <v>106</v>
      </c>
    </row>
    <row r="3" spans="1:6" x14ac:dyDescent="0.35">
      <c r="A3" s="64">
        <v>1</v>
      </c>
      <c r="B3" s="64" t="s">
        <v>387</v>
      </c>
      <c r="C3" s="64" t="s">
        <v>89</v>
      </c>
      <c r="D3" s="64"/>
      <c r="E3" s="1" t="s">
        <v>149</v>
      </c>
      <c r="F3" s="64" t="s">
        <v>96</v>
      </c>
    </row>
    <row r="4" spans="1:6" x14ac:dyDescent="0.35">
      <c r="A4" s="64">
        <v>2</v>
      </c>
      <c r="B4" s="64" t="s">
        <v>386</v>
      </c>
      <c r="C4" s="64" t="s">
        <v>89</v>
      </c>
      <c r="D4" s="64"/>
      <c r="E4" s="1" t="s">
        <v>149</v>
      </c>
      <c r="F4" s="64" t="s">
        <v>96</v>
      </c>
    </row>
    <row r="5" spans="1:6" x14ac:dyDescent="0.35">
      <c r="A5" s="64">
        <v>3</v>
      </c>
      <c r="B5" s="64" t="s">
        <v>385</v>
      </c>
      <c r="C5" s="64" t="s">
        <v>89</v>
      </c>
      <c r="D5" s="64"/>
      <c r="E5" s="1" t="s">
        <v>149</v>
      </c>
      <c r="F5" s="64" t="s">
        <v>96</v>
      </c>
    </row>
    <row r="6" spans="1:6" x14ac:dyDescent="0.35">
      <c r="A6" s="64">
        <v>4</v>
      </c>
      <c r="B6" s="64" t="s">
        <v>388</v>
      </c>
      <c r="C6" s="64" t="s">
        <v>89</v>
      </c>
      <c r="D6" s="64"/>
      <c r="E6" s="1" t="s">
        <v>149</v>
      </c>
      <c r="F6" s="64" t="s">
        <v>96</v>
      </c>
    </row>
    <row r="7" spans="1:6" x14ac:dyDescent="0.35">
      <c r="A7" s="64">
        <v>5</v>
      </c>
      <c r="B7" s="64" t="s">
        <v>156</v>
      </c>
      <c r="C7" s="64" t="s">
        <v>384</v>
      </c>
      <c r="D7" s="64"/>
      <c r="E7" s="1" t="s">
        <v>149</v>
      </c>
      <c r="F7" s="64" t="s">
        <v>96</v>
      </c>
    </row>
    <row r="8" spans="1:6" x14ac:dyDescent="0.35">
      <c r="A8" s="64">
        <v>6</v>
      </c>
      <c r="B8" s="64" t="s">
        <v>383</v>
      </c>
      <c r="C8" s="64" t="s">
        <v>384</v>
      </c>
      <c r="D8" s="64"/>
      <c r="E8" s="1" t="s">
        <v>149</v>
      </c>
      <c r="F8" s="64" t="s">
        <v>96</v>
      </c>
    </row>
    <row r="9" spans="1:6" x14ac:dyDescent="0.35">
      <c r="A9" s="64">
        <v>7</v>
      </c>
      <c r="B9" s="64" t="s">
        <v>382</v>
      </c>
      <c r="C9" s="64" t="s">
        <v>422</v>
      </c>
      <c r="D9" s="64"/>
      <c r="E9" s="1" t="s">
        <v>149</v>
      </c>
      <c r="F9" s="64" t="s">
        <v>96</v>
      </c>
    </row>
    <row r="10" spans="1:6" x14ac:dyDescent="0.35">
      <c r="A10" s="64">
        <v>8</v>
      </c>
      <c r="B10" s="64" t="s">
        <v>381</v>
      </c>
      <c r="C10" s="64" t="s">
        <v>380</v>
      </c>
      <c r="D10" s="64"/>
      <c r="E10" s="1" t="s">
        <v>149</v>
      </c>
      <c r="F10" s="64" t="s">
        <v>96</v>
      </c>
    </row>
    <row r="11" spans="1:6" x14ac:dyDescent="0.35">
      <c r="A11" s="64">
        <v>9</v>
      </c>
      <c r="B11" s="64" t="s">
        <v>389</v>
      </c>
      <c r="C11" s="64" t="s">
        <v>380</v>
      </c>
      <c r="D11" s="64"/>
      <c r="E11" s="1" t="s">
        <v>149</v>
      </c>
      <c r="F11" s="64" t="s">
        <v>96</v>
      </c>
    </row>
    <row r="12" spans="1:6" x14ac:dyDescent="0.35">
      <c r="A12" s="64">
        <v>10</v>
      </c>
      <c r="B12" s="64" t="s">
        <v>379</v>
      </c>
      <c r="C12" s="64" t="s">
        <v>394</v>
      </c>
      <c r="D12" s="64"/>
      <c r="E12" s="1" t="s">
        <v>149</v>
      </c>
      <c r="F12" s="64" t="s">
        <v>96</v>
      </c>
    </row>
    <row r="13" spans="1:6" x14ac:dyDescent="0.35">
      <c r="A13" s="64">
        <v>11</v>
      </c>
      <c r="B13" s="64" t="s">
        <v>390</v>
      </c>
      <c r="C13" s="64" t="s">
        <v>395</v>
      </c>
      <c r="D13" s="64"/>
      <c r="E13" s="1" t="s">
        <v>149</v>
      </c>
      <c r="F13" s="64" t="s">
        <v>96</v>
      </c>
    </row>
    <row r="14" spans="1:6" x14ac:dyDescent="0.35">
      <c r="A14" s="64">
        <v>12</v>
      </c>
      <c r="B14" s="64" t="s">
        <v>391</v>
      </c>
      <c r="C14" s="64" t="s">
        <v>396</v>
      </c>
      <c r="D14" s="64"/>
      <c r="E14" s="1" t="s">
        <v>149</v>
      </c>
      <c r="F14" s="64" t="s">
        <v>96</v>
      </c>
    </row>
    <row r="15" spans="1:6" x14ac:dyDescent="0.35">
      <c r="A15" s="64">
        <v>13</v>
      </c>
      <c r="B15" s="64" t="s">
        <v>392</v>
      </c>
      <c r="C15" s="64" t="s">
        <v>396</v>
      </c>
      <c r="D15" s="64"/>
      <c r="E15" s="1" t="s">
        <v>149</v>
      </c>
      <c r="F15" s="64" t="s">
        <v>96</v>
      </c>
    </row>
    <row r="16" spans="1:6" x14ac:dyDescent="0.35">
      <c r="A16" s="64">
        <v>14</v>
      </c>
      <c r="B16" s="64" t="s">
        <v>393</v>
      </c>
      <c r="C16" s="64" t="s">
        <v>397</v>
      </c>
      <c r="D16" s="64"/>
      <c r="E16" s="1" t="s">
        <v>149</v>
      </c>
      <c r="F16" s="64" t="s">
        <v>96</v>
      </c>
    </row>
    <row r="17" spans="1:6" x14ac:dyDescent="0.35">
      <c r="A17" s="64">
        <v>15</v>
      </c>
      <c r="B17" s="64" t="s">
        <v>378</v>
      </c>
      <c r="C17" s="64" t="s">
        <v>397</v>
      </c>
      <c r="D17" s="64"/>
      <c r="E17" s="1" t="s">
        <v>149</v>
      </c>
      <c r="F17" s="64" t="s">
        <v>96</v>
      </c>
    </row>
    <row r="18" spans="1:6" x14ac:dyDescent="0.35">
      <c r="A18" s="64">
        <v>16</v>
      </c>
      <c r="B18" s="64" t="s">
        <v>377</v>
      </c>
      <c r="C18" s="64" t="s">
        <v>397</v>
      </c>
      <c r="D18" s="64"/>
      <c r="E18" s="1" t="s">
        <v>149</v>
      </c>
      <c r="F18" s="64" t="s">
        <v>96</v>
      </c>
    </row>
    <row r="19" spans="1:6" x14ac:dyDescent="0.35">
      <c r="A19" s="64">
        <v>17</v>
      </c>
      <c r="B19" s="64" t="s">
        <v>376</v>
      </c>
      <c r="C19" s="64" t="s">
        <v>397</v>
      </c>
      <c r="D19" s="64"/>
      <c r="E19" s="1" t="s">
        <v>149</v>
      </c>
      <c r="F19" s="64" t="s">
        <v>96</v>
      </c>
    </row>
    <row r="20" spans="1:6" x14ac:dyDescent="0.35">
      <c r="A20" s="64">
        <v>18</v>
      </c>
      <c r="B20" s="64" t="s">
        <v>85</v>
      </c>
      <c r="C20" s="64" t="s">
        <v>375</v>
      </c>
      <c r="D20" s="64">
        <v>813421950</v>
      </c>
      <c r="E20" s="1" t="s">
        <v>149</v>
      </c>
      <c r="F20" s="64" t="s">
        <v>96</v>
      </c>
    </row>
    <row r="21" spans="1:6" x14ac:dyDescent="0.35">
      <c r="A21" s="64">
        <v>19</v>
      </c>
      <c r="B21" s="64" t="s">
        <v>374</v>
      </c>
      <c r="C21" s="64" t="s">
        <v>375</v>
      </c>
      <c r="D21" s="64"/>
      <c r="E21" s="1" t="s">
        <v>149</v>
      </c>
      <c r="F21" s="64" t="s">
        <v>96</v>
      </c>
    </row>
    <row r="22" spans="1:6" x14ac:dyDescent="0.35">
      <c r="A22" s="64">
        <v>20</v>
      </c>
      <c r="B22" s="64" t="s">
        <v>398</v>
      </c>
      <c r="C22" s="64" t="s">
        <v>375</v>
      </c>
      <c r="D22" s="64"/>
      <c r="E22" s="1" t="s">
        <v>149</v>
      </c>
      <c r="F22" s="64" t="s">
        <v>96</v>
      </c>
    </row>
    <row r="23" spans="1:6" x14ac:dyDescent="0.35">
      <c r="A23" s="64">
        <v>21</v>
      </c>
      <c r="B23" s="64" t="s">
        <v>373</v>
      </c>
      <c r="C23" s="64" t="s">
        <v>375</v>
      </c>
      <c r="D23" s="64"/>
      <c r="E23" s="1" t="s">
        <v>149</v>
      </c>
      <c r="F23" s="64" t="s">
        <v>96</v>
      </c>
    </row>
    <row r="24" spans="1:6" x14ac:dyDescent="0.35">
      <c r="A24" s="64">
        <v>22</v>
      </c>
      <c r="B24" s="64" t="s">
        <v>399</v>
      </c>
      <c r="C24" s="64" t="s">
        <v>375</v>
      </c>
      <c r="D24" s="64">
        <v>83290610</v>
      </c>
      <c r="E24" s="1" t="s">
        <v>149</v>
      </c>
      <c r="F24" s="64" t="s">
        <v>96</v>
      </c>
    </row>
    <row r="25" spans="1:6" x14ac:dyDescent="0.35">
      <c r="A25" s="64">
        <v>23</v>
      </c>
      <c r="B25" s="64" t="s">
        <v>356</v>
      </c>
      <c r="C25" s="64" t="s">
        <v>371</v>
      </c>
      <c r="D25" s="64">
        <v>85642090075</v>
      </c>
      <c r="E25" s="1" t="s">
        <v>149</v>
      </c>
      <c r="F25" s="64" t="s">
        <v>97</v>
      </c>
    </row>
    <row r="26" spans="1:6" x14ac:dyDescent="0.35">
      <c r="A26" s="64">
        <v>24</v>
      </c>
      <c r="B26" s="64" t="s">
        <v>357</v>
      </c>
      <c r="C26" s="64" t="s">
        <v>371</v>
      </c>
      <c r="D26" s="64"/>
      <c r="E26" s="1" t="s">
        <v>149</v>
      </c>
      <c r="F26" s="64" t="s">
        <v>97</v>
      </c>
    </row>
    <row r="27" spans="1:6" x14ac:dyDescent="0.35">
      <c r="A27" s="64">
        <v>25</v>
      </c>
      <c r="B27" s="64" t="s">
        <v>372</v>
      </c>
      <c r="C27" s="64" t="s">
        <v>371</v>
      </c>
      <c r="D27" s="64"/>
      <c r="E27" s="1" t="s">
        <v>149</v>
      </c>
      <c r="F27" s="64" t="s">
        <v>97</v>
      </c>
    </row>
    <row r="28" spans="1:6" x14ac:dyDescent="0.35">
      <c r="A28" s="64">
        <v>26</v>
      </c>
      <c r="B28" s="64" t="s">
        <v>370</v>
      </c>
      <c r="C28" s="64" t="s">
        <v>371</v>
      </c>
      <c r="D28" s="64"/>
      <c r="E28" s="1" t="s">
        <v>149</v>
      </c>
      <c r="F28" s="64" t="s">
        <v>97</v>
      </c>
    </row>
    <row r="29" spans="1:6" x14ac:dyDescent="0.35">
      <c r="A29" s="64">
        <v>27</v>
      </c>
      <c r="B29" s="64" t="s">
        <v>233</v>
      </c>
      <c r="C29" s="64" t="s">
        <v>371</v>
      </c>
      <c r="D29" s="64"/>
      <c r="E29" s="1" t="s">
        <v>149</v>
      </c>
      <c r="F29" s="64" t="s">
        <v>96</v>
      </c>
    </row>
    <row r="30" spans="1:6" x14ac:dyDescent="0.35">
      <c r="A30" s="64">
        <v>28</v>
      </c>
      <c r="B30" s="64" t="s">
        <v>83</v>
      </c>
      <c r="C30" s="64" t="s">
        <v>371</v>
      </c>
      <c r="D30" s="64"/>
      <c r="E30" s="1" t="s">
        <v>149</v>
      </c>
      <c r="F30" s="64" t="s">
        <v>96</v>
      </c>
    </row>
    <row r="31" spans="1:6" x14ac:dyDescent="0.35">
      <c r="A31" s="64">
        <v>29</v>
      </c>
      <c r="B31" s="64" t="s">
        <v>83</v>
      </c>
      <c r="C31" s="64" t="s">
        <v>400</v>
      </c>
      <c r="D31" s="64"/>
      <c r="E31" s="1" t="s">
        <v>149</v>
      </c>
      <c r="F31" s="64" t="s">
        <v>96</v>
      </c>
    </row>
    <row r="32" spans="1:6" x14ac:dyDescent="0.35">
      <c r="A32" s="64">
        <v>30</v>
      </c>
      <c r="B32" s="64" t="s">
        <v>369</v>
      </c>
      <c r="C32" s="64" t="s">
        <v>401</v>
      </c>
      <c r="D32" s="64"/>
      <c r="E32" s="1" t="s">
        <v>149</v>
      </c>
      <c r="F32" s="64" t="s">
        <v>96</v>
      </c>
    </row>
    <row r="33" spans="1:6" x14ac:dyDescent="0.35">
      <c r="A33" s="64">
        <v>31</v>
      </c>
      <c r="B33" s="64" t="s">
        <v>368</v>
      </c>
      <c r="C33" s="64" t="s">
        <v>367</v>
      </c>
      <c r="D33" s="64"/>
      <c r="E33" s="1" t="s">
        <v>149</v>
      </c>
      <c r="F33" s="64" t="s">
        <v>96</v>
      </c>
    </row>
    <row r="34" spans="1:6" x14ac:dyDescent="0.35">
      <c r="A34" s="64">
        <v>32</v>
      </c>
      <c r="B34" s="64" t="s">
        <v>366</v>
      </c>
      <c r="C34" s="64" t="s">
        <v>103</v>
      </c>
      <c r="D34" s="64"/>
      <c r="E34" s="1" t="s">
        <v>149</v>
      </c>
      <c r="F34" s="64" t="s">
        <v>96</v>
      </c>
    </row>
    <row r="35" spans="1:6" x14ac:dyDescent="0.35">
      <c r="A35" s="64">
        <v>33</v>
      </c>
      <c r="B35" s="64" t="s">
        <v>365</v>
      </c>
      <c r="C35" s="64" t="s">
        <v>103</v>
      </c>
      <c r="D35" s="64"/>
      <c r="E35" s="1" t="s">
        <v>149</v>
      </c>
      <c r="F35" s="64" t="s">
        <v>96</v>
      </c>
    </row>
    <row r="36" spans="1:6" x14ac:dyDescent="0.35">
      <c r="A36" s="64">
        <v>34</v>
      </c>
      <c r="B36" s="64" t="s">
        <v>235</v>
      </c>
      <c r="C36" s="64" t="s">
        <v>103</v>
      </c>
      <c r="D36" s="64"/>
      <c r="E36" s="1" t="s">
        <v>149</v>
      </c>
      <c r="F36" s="64" t="s">
        <v>96</v>
      </c>
    </row>
    <row r="37" spans="1:6" x14ac:dyDescent="0.35">
      <c r="A37" s="64">
        <v>35</v>
      </c>
      <c r="B37" s="64" t="s">
        <v>88</v>
      </c>
      <c r="C37" s="64" t="s">
        <v>58</v>
      </c>
      <c r="D37" s="64"/>
      <c r="E37" s="1" t="s">
        <v>179</v>
      </c>
      <c r="F37" s="64" t="s">
        <v>97</v>
      </c>
    </row>
    <row r="40" spans="1:6" x14ac:dyDescent="0.35">
      <c r="B40" s="1" t="s">
        <v>179</v>
      </c>
      <c r="C40" s="1" t="s">
        <v>97</v>
      </c>
      <c r="D40" s="1">
        <f>COUNTIFS($F$3:$F$37,C40,$E$3:$E$37,B40)-1</f>
        <v>0</v>
      </c>
    </row>
    <row r="41" spans="1:6" x14ac:dyDescent="0.35">
      <c r="B41" s="1" t="s">
        <v>179</v>
      </c>
      <c r="C41" s="1" t="s">
        <v>96</v>
      </c>
      <c r="D41" s="1">
        <f>COUNTIFS($F$3:$F$37,C41,$E$3:$E$37,B41)</f>
        <v>0</v>
      </c>
    </row>
    <row r="42" spans="1:6" x14ac:dyDescent="0.35">
      <c r="B42" s="1" t="s">
        <v>149</v>
      </c>
      <c r="C42" s="1" t="s">
        <v>97</v>
      </c>
      <c r="D42" s="1">
        <f>COUNTIFS($F$3:$F$37,C42,$E$3:$E$37,B42)</f>
        <v>4</v>
      </c>
    </row>
    <row r="43" spans="1:6" x14ac:dyDescent="0.35">
      <c r="B43" s="1" t="s">
        <v>149</v>
      </c>
      <c r="C43" s="1" t="s">
        <v>96</v>
      </c>
      <c r="D43" s="1">
        <f>COUNTIFS($F$3:$F$37,C43,$E$3:$E$37,B43)</f>
        <v>30</v>
      </c>
    </row>
    <row r="44" spans="1:6" x14ac:dyDescent="0.35">
      <c r="D44">
        <f>SUM(D40:D43)</f>
        <v>34</v>
      </c>
    </row>
    <row r="46" spans="1:6" x14ac:dyDescent="0.35">
      <c r="B46" t="s">
        <v>423</v>
      </c>
    </row>
  </sheetData>
  <autoFilter ref="A2:F37" xr:uid="{CB8A7011-5D13-4735-9895-55AF7E1D96AA}"/>
  <conditionalFormatting sqref="B40:B41">
    <cfRule type="expression" dxfId="207" priority="6">
      <formula>MOD(ROW(),2)=0</formula>
    </cfRule>
    <cfRule type="expression" dxfId="206" priority="7">
      <formula>MOD(ROW(),2)=0</formula>
    </cfRule>
  </conditionalFormatting>
  <conditionalFormatting sqref="B40:B43">
    <cfRule type="expression" dxfId="205" priority="3">
      <formula>MOD(ROW(),2)=0</formula>
    </cfRule>
  </conditionalFormatting>
  <conditionalFormatting sqref="B42">
    <cfRule type="expression" dxfId="204" priority="1">
      <formula>MOD(ROW(),2)=0</formula>
    </cfRule>
    <cfRule type="expression" dxfId="203" priority="2">
      <formula>MOD(ROW(),2)=0</formula>
    </cfRule>
  </conditionalFormatting>
  <conditionalFormatting sqref="B43">
    <cfRule type="expression" dxfId="202" priority="4">
      <formula>MOD(ROW(),2)=0</formula>
    </cfRule>
    <cfRule type="expression" dxfId="201" priority="5">
      <formula>MOD(ROW(),2)=0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BA6C-029F-4428-A2CD-8B5D66F14FED}">
  <dimension ref="A1:F46"/>
  <sheetViews>
    <sheetView workbookViewId="0">
      <selection activeCell="A2" sqref="A2:C38"/>
    </sheetView>
  </sheetViews>
  <sheetFormatPr defaultRowHeight="14.5" x14ac:dyDescent="0.35"/>
  <cols>
    <col min="2" max="3" width="29.6328125" customWidth="1"/>
    <col min="4" max="4" width="18.453125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413</v>
      </c>
      <c r="E1" s="16" t="s">
        <v>414</v>
      </c>
    </row>
    <row r="2" spans="1:6" ht="29" x14ac:dyDescent="0.35">
      <c r="A2" s="13" t="s">
        <v>0</v>
      </c>
      <c r="B2" s="61" t="s">
        <v>102</v>
      </c>
      <c r="C2" s="62" t="s">
        <v>104</v>
      </c>
      <c r="D2" s="63" t="s">
        <v>333</v>
      </c>
      <c r="E2" s="62" t="s">
        <v>105</v>
      </c>
      <c r="F2" s="62" t="s">
        <v>106</v>
      </c>
    </row>
    <row r="3" spans="1:6" x14ac:dyDescent="0.35">
      <c r="A3" s="64">
        <v>1</v>
      </c>
      <c r="B3" s="64" t="s">
        <v>332</v>
      </c>
      <c r="C3" s="64" t="s">
        <v>335</v>
      </c>
      <c r="D3" s="64">
        <v>83228628766</v>
      </c>
      <c r="E3" s="1" t="s">
        <v>149</v>
      </c>
      <c r="F3" s="64" t="s">
        <v>96</v>
      </c>
    </row>
    <row r="4" spans="1:6" x14ac:dyDescent="0.35">
      <c r="A4" s="64">
        <v>2</v>
      </c>
      <c r="B4" s="64" t="s">
        <v>331</v>
      </c>
      <c r="C4" s="64" t="s">
        <v>336</v>
      </c>
      <c r="D4" s="64">
        <v>82135861383</v>
      </c>
      <c r="E4" s="1" t="s">
        <v>149</v>
      </c>
      <c r="F4" s="64" t="s">
        <v>96</v>
      </c>
    </row>
    <row r="5" spans="1:6" x14ac:dyDescent="0.35">
      <c r="A5" s="64">
        <v>3</v>
      </c>
      <c r="B5" s="64" t="s">
        <v>330</v>
      </c>
      <c r="C5" s="64" t="s">
        <v>337</v>
      </c>
      <c r="D5" s="64">
        <v>852293198</v>
      </c>
      <c r="E5" s="1" t="s">
        <v>149</v>
      </c>
      <c r="F5" s="64" t="s">
        <v>96</v>
      </c>
    </row>
    <row r="6" spans="1:6" x14ac:dyDescent="0.35">
      <c r="A6" s="64">
        <v>4</v>
      </c>
      <c r="B6" s="64" t="s">
        <v>329</v>
      </c>
      <c r="C6" s="64" t="s">
        <v>103</v>
      </c>
      <c r="D6" s="64"/>
      <c r="E6" s="1" t="s">
        <v>149</v>
      </c>
      <c r="F6" s="64" t="s">
        <v>96</v>
      </c>
    </row>
    <row r="7" spans="1:6" x14ac:dyDescent="0.35">
      <c r="A7" s="64">
        <v>5</v>
      </c>
      <c r="B7" s="64" t="s">
        <v>334</v>
      </c>
      <c r="C7" s="64" t="s">
        <v>103</v>
      </c>
      <c r="D7" s="64"/>
      <c r="E7" s="1" t="s">
        <v>149</v>
      </c>
      <c r="F7" s="64" t="s">
        <v>97</v>
      </c>
    </row>
    <row r="8" spans="1:6" x14ac:dyDescent="0.35">
      <c r="A8" s="64">
        <v>6</v>
      </c>
      <c r="B8" s="64" t="s">
        <v>224</v>
      </c>
      <c r="C8" s="64" t="s">
        <v>58</v>
      </c>
      <c r="D8" s="64">
        <v>85802138480</v>
      </c>
      <c r="E8" s="1" t="s">
        <v>179</v>
      </c>
      <c r="F8" s="64" t="s">
        <v>97</v>
      </c>
    </row>
    <row r="9" spans="1:6" x14ac:dyDescent="0.35">
      <c r="A9" s="64">
        <v>7</v>
      </c>
      <c r="B9" s="64" t="s">
        <v>328</v>
      </c>
      <c r="C9" s="64" t="s">
        <v>313</v>
      </c>
      <c r="D9" s="64"/>
      <c r="E9" s="1" t="s">
        <v>149</v>
      </c>
      <c r="F9" s="64" t="s">
        <v>96</v>
      </c>
    </row>
    <row r="10" spans="1:6" x14ac:dyDescent="0.35">
      <c r="A10" s="64">
        <v>8</v>
      </c>
      <c r="B10" s="64" t="s">
        <v>327</v>
      </c>
      <c r="C10" s="64" t="s">
        <v>313</v>
      </c>
      <c r="D10" s="64"/>
      <c r="E10" s="1" t="s">
        <v>149</v>
      </c>
      <c r="F10" s="64" t="s">
        <v>96</v>
      </c>
    </row>
    <row r="11" spans="1:6" x14ac:dyDescent="0.35">
      <c r="A11" s="64">
        <v>9</v>
      </c>
      <c r="B11" s="64" t="s">
        <v>326</v>
      </c>
      <c r="C11" s="64" t="s">
        <v>313</v>
      </c>
      <c r="D11" s="64"/>
      <c r="E11" s="1" t="s">
        <v>149</v>
      </c>
      <c r="F11" s="64" t="s">
        <v>96</v>
      </c>
    </row>
    <row r="12" spans="1:6" x14ac:dyDescent="0.35">
      <c r="A12" s="64">
        <v>10</v>
      </c>
      <c r="B12" s="64" t="s">
        <v>325</v>
      </c>
      <c r="C12" s="64" t="s">
        <v>313</v>
      </c>
      <c r="D12" s="64"/>
      <c r="E12" s="1" t="s">
        <v>149</v>
      </c>
      <c r="F12" s="64" t="s">
        <v>96</v>
      </c>
    </row>
    <row r="13" spans="1:6" x14ac:dyDescent="0.35">
      <c r="A13" s="64">
        <v>11</v>
      </c>
      <c r="B13" s="64" t="s">
        <v>338</v>
      </c>
      <c r="C13" s="64" t="s">
        <v>313</v>
      </c>
      <c r="D13" s="64"/>
      <c r="E13" s="1" t="s">
        <v>149</v>
      </c>
      <c r="F13" s="64" t="s">
        <v>96</v>
      </c>
    </row>
    <row r="14" spans="1:6" x14ac:dyDescent="0.35">
      <c r="A14" s="64">
        <v>12</v>
      </c>
      <c r="B14" s="64" t="s">
        <v>324</v>
      </c>
      <c r="C14" s="64" t="s">
        <v>313</v>
      </c>
      <c r="D14" s="64"/>
      <c r="E14" s="1" t="s">
        <v>149</v>
      </c>
      <c r="F14" s="64" t="s">
        <v>96</v>
      </c>
    </row>
    <row r="15" spans="1:6" x14ac:dyDescent="0.35">
      <c r="A15" s="64">
        <v>13</v>
      </c>
      <c r="B15" s="64" t="s">
        <v>323</v>
      </c>
      <c r="C15" s="64" t="s">
        <v>313</v>
      </c>
      <c r="D15" s="64"/>
      <c r="E15" s="1" t="s">
        <v>149</v>
      </c>
      <c r="F15" s="64" t="s">
        <v>96</v>
      </c>
    </row>
    <row r="16" spans="1:6" x14ac:dyDescent="0.35">
      <c r="A16" s="64">
        <v>14</v>
      </c>
      <c r="B16" s="64" t="s">
        <v>339</v>
      </c>
      <c r="C16" s="64" t="s">
        <v>313</v>
      </c>
      <c r="D16" s="64"/>
      <c r="E16" s="1" t="s">
        <v>149</v>
      </c>
      <c r="F16" s="64" t="s">
        <v>96</v>
      </c>
    </row>
    <row r="17" spans="1:6" x14ac:dyDescent="0.35">
      <c r="A17" s="64">
        <v>15</v>
      </c>
      <c r="B17" s="64" t="s">
        <v>340</v>
      </c>
      <c r="C17" s="64" t="s">
        <v>313</v>
      </c>
      <c r="D17" s="64"/>
      <c r="E17" s="1" t="s">
        <v>149</v>
      </c>
      <c r="F17" s="64" t="s">
        <v>96</v>
      </c>
    </row>
    <row r="18" spans="1:6" x14ac:dyDescent="0.35">
      <c r="A18" s="64">
        <v>16</v>
      </c>
      <c r="B18" s="64" t="s">
        <v>322</v>
      </c>
      <c r="C18" s="64" t="s">
        <v>313</v>
      </c>
      <c r="D18" s="64"/>
      <c r="E18" s="1" t="s">
        <v>149</v>
      </c>
      <c r="F18" s="64" t="s">
        <v>97</v>
      </c>
    </row>
    <row r="19" spans="1:6" x14ac:dyDescent="0.35">
      <c r="A19" s="64">
        <v>17</v>
      </c>
      <c r="B19" s="64" t="s">
        <v>200</v>
      </c>
      <c r="C19" s="64" t="s">
        <v>313</v>
      </c>
      <c r="D19" s="64"/>
      <c r="E19" s="1" t="s">
        <v>149</v>
      </c>
      <c r="F19" s="64" t="s">
        <v>97</v>
      </c>
    </row>
    <row r="20" spans="1:6" x14ac:dyDescent="0.35">
      <c r="A20" s="64">
        <v>18</v>
      </c>
      <c r="B20" s="64" t="s">
        <v>321</v>
      </c>
      <c r="C20" s="64" t="s">
        <v>313</v>
      </c>
      <c r="D20" s="64"/>
      <c r="E20" s="1" t="s">
        <v>149</v>
      </c>
      <c r="F20" s="64" t="s">
        <v>97</v>
      </c>
    </row>
    <row r="21" spans="1:6" x14ac:dyDescent="0.35">
      <c r="A21" s="64">
        <v>19</v>
      </c>
      <c r="B21" s="64" t="s">
        <v>341</v>
      </c>
      <c r="C21" s="64" t="s">
        <v>313</v>
      </c>
      <c r="D21" s="64"/>
      <c r="E21" s="1" t="s">
        <v>149</v>
      </c>
      <c r="F21" s="64" t="s">
        <v>97</v>
      </c>
    </row>
    <row r="22" spans="1:6" x14ac:dyDescent="0.35">
      <c r="A22" s="64">
        <v>20</v>
      </c>
      <c r="B22" s="64" t="s">
        <v>342</v>
      </c>
      <c r="C22" s="64" t="s">
        <v>313</v>
      </c>
      <c r="D22" s="64"/>
      <c r="E22" s="1" t="s">
        <v>149</v>
      </c>
      <c r="F22" s="64" t="s">
        <v>97</v>
      </c>
    </row>
    <row r="23" spans="1:6" x14ac:dyDescent="0.35">
      <c r="A23" s="64">
        <v>21</v>
      </c>
      <c r="B23" s="64" t="s">
        <v>320</v>
      </c>
      <c r="C23" s="64" t="s">
        <v>313</v>
      </c>
      <c r="D23" s="64"/>
      <c r="E23" s="1" t="s">
        <v>149</v>
      </c>
      <c r="F23" s="64" t="s">
        <v>96</v>
      </c>
    </row>
    <row r="24" spans="1:6" x14ac:dyDescent="0.35">
      <c r="A24" s="64">
        <v>22</v>
      </c>
      <c r="B24" s="64" t="s">
        <v>319</v>
      </c>
      <c r="C24" s="64" t="s">
        <v>313</v>
      </c>
      <c r="D24" s="64"/>
      <c r="E24" s="1" t="s">
        <v>149</v>
      </c>
      <c r="F24" s="64" t="s">
        <v>96</v>
      </c>
    </row>
    <row r="25" spans="1:6" x14ac:dyDescent="0.35">
      <c r="A25" s="64">
        <v>23</v>
      </c>
      <c r="B25" s="64" t="s">
        <v>343</v>
      </c>
      <c r="C25" s="64" t="s">
        <v>313</v>
      </c>
      <c r="D25" s="64"/>
      <c r="E25" s="1" t="s">
        <v>149</v>
      </c>
      <c r="F25" s="64" t="s">
        <v>96</v>
      </c>
    </row>
    <row r="26" spans="1:6" x14ac:dyDescent="0.35">
      <c r="A26" s="64">
        <v>24</v>
      </c>
      <c r="B26" s="64" t="s">
        <v>110</v>
      </c>
      <c r="C26" s="64" t="s">
        <v>313</v>
      </c>
      <c r="D26" s="64"/>
      <c r="E26" s="1" t="s">
        <v>149</v>
      </c>
      <c r="F26" s="64" t="s">
        <v>96</v>
      </c>
    </row>
    <row r="27" spans="1:6" x14ac:dyDescent="0.35">
      <c r="A27" s="64">
        <v>25</v>
      </c>
      <c r="B27" s="64" t="s">
        <v>318</v>
      </c>
      <c r="C27" s="64" t="s">
        <v>313</v>
      </c>
      <c r="D27" s="64"/>
      <c r="E27" s="1" t="s">
        <v>149</v>
      </c>
      <c r="F27" s="64" t="s">
        <v>96</v>
      </c>
    </row>
    <row r="28" spans="1:6" x14ac:dyDescent="0.35">
      <c r="A28" s="64">
        <v>26</v>
      </c>
      <c r="B28" s="64" t="s">
        <v>317</v>
      </c>
      <c r="C28" s="64" t="s">
        <v>313</v>
      </c>
      <c r="D28" s="64"/>
      <c r="E28" s="1" t="s">
        <v>149</v>
      </c>
      <c r="F28" s="64" t="s">
        <v>96</v>
      </c>
    </row>
    <row r="29" spans="1:6" x14ac:dyDescent="0.35">
      <c r="A29" s="64">
        <v>27</v>
      </c>
      <c r="B29" s="64" t="s">
        <v>344</v>
      </c>
      <c r="C29" s="64" t="s">
        <v>313</v>
      </c>
      <c r="D29" s="64"/>
      <c r="E29" s="1" t="s">
        <v>149</v>
      </c>
      <c r="F29" s="64" t="s">
        <v>96</v>
      </c>
    </row>
    <row r="30" spans="1:6" x14ac:dyDescent="0.35">
      <c r="A30" s="64">
        <v>28</v>
      </c>
      <c r="B30" s="64" t="s">
        <v>316</v>
      </c>
      <c r="C30" s="64" t="s">
        <v>313</v>
      </c>
      <c r="D30" s="64"/>
      <c r="E30" s="1" t="s">
        <v>149</v>
      </c>
      <c r="F30" s="64" t="s">
        <v>96</v>
      </c>
    </row>
    <row r="31" spans="1:6" x14ac:dyDescent="0.35">
      <c r="A31" s="64">
        <v>29</v>
      </c>
      <c r="B31" s="64" t="s">
        <v>315</v>
      </c>
      <c r="C31" s="64" t="s">
        <v>313</v>
      </c>
      <c r="D31" s="64"/>
      <c r="E31" s="1" t="s">
        <v>149</v>
      </c>
      <c r="F31" s="64" t="s">
        <v>96</v>
      </c>
    </row>
    <row r="32" spans="1:6" x14ac:dyDescent="0.35">
      <c r="A32" s="64">
        <v>30</v>
      </c>
      <c r="B32" s="64" t="s">
        <v>345</v>
      </c>
      <c r="C32" s="64" t="s">
        <v>313</v>
      </c>
      <c r="D32" s="64"/>
      <c r="E32" s="1" t="s">
        <v>149</v>
      </c>
      <c r="F32" s="64" t="s">
        <v>97</v>
      </c>
    </row>
    <row r="33" spans="1:6" x14ac:dyDescent="0.35">
      <c r="A33" s="64">
        <v>31</v>
      </c>
      <c r="B33" s="64" t="s">
        <v>314</v>
      </c>
      <c r="C33" s="64" t="s">
        <v>313</v>
      </c>
      <c r="D33" s="64"/>
      <c r="E33" s="1" t="s">
        <v>149</v>
      </c>
      <c r="F33" s="64" t="s">
        <v>96</v>
      </c>
    </row>
    <row r="34" spans="1:6" x14ac:dyDescent="0.35">
      <c r="A34" s="64">
        <v>32</v>
      </c>
      <c r="B34" s="64" t="s">
        <v>346</v>
      </c>
      <c r="C34" s="64" t="s">
        <v>313</v>
      </c>
      <c r="D34" s="64"/>
      <c r="E34" s="1" t="s">
        <v>149</v>
      </c>
      <c r="F34" s="64" t="s">
        <v>96</v>
      </c>
    </row>
    <row r="35" spans="1:6" x14ac:dyDescent="0.35">
      <c r="A35" s="64">
        <v>33</v>
      </c>
      <c r="B35" s="64" t="s">
        <v>312</v>
      </c>
      <c r="C35" s="64" t="s">
        <v>313</v>
      </c>
      <c r="D35" s="64"/>
      <c r="E35" s="1" t="s">
        <v>149</v>
      </c>
      <c r="F35" s="64" t="s">
        <v>96</v>
      </c>
    </row>
    <row r="36" spans="1:6" x14ac:dyDescent="0.35">
      <c r="A36" s="64">
        <v>34</v>
      </c>
      <c r="B36" s="64" t="s">
        <v>311</v>
      </c>
      <c r="C36" s="64" t="s">
        <v>313</v>
      </c>
      <c r="D36" s="64"/>
      <c r="E36" s="1" t="s">
        <v>149</v>
      </c>
      <c r="F36" s="64" t="s">
        <v>96</v>
      </c>
    </row>
    <row r="37" spans="1:6" x14ac:dyDescent="0.35">
      <c r="A37" s="64">
        <v>35</v>
      </c>
      <c r="B37" s="64" t="s">
        <v>310</v>
      </c>
      <c r="C37" s="64" t="s">
        <v>348</v>
      </c>
      <c r="D37" s="64"/>
      <c r="E37" s="1" t="s">
        <v>149</v>
      </c>
      <c r="F37" s="64" t="s">
        <v>96</v>
      </c>
    </row>
    <row r="38" spans="1:6" x14ac:dyDescent="0.35">
      <c r="A38" s="64">
        <v>36</v>
      </c>
      <c r="B38" s="64" t="s">
        <v>347</v>
      </c>
      <c r="C38" s="64" t="s">
        <v>348</v>
      </c>
      <c r="D38" s="64"/>
      <c r="E38" s="1" t="s">
        <v>149</v>
      </c>
      <c r="F38" s="64" t="s">
        <v>96</v>
      </c>
    </row>
    <row r="41" spans="1:6" x14ac:dyDescent="0.35">
      <c r="B41" s="1" t="s">
        <v>179</v>
      </c>
      <c r="C41" s="1" t="s">
        <v>97</v>
      </c>
      <c r="D41" s="1">
        <f>COUNTIFS($F$3:$F$38,C41,$E$3:$E$38,B41)-1</f>
        <v>0</v>
      </c>
    </row>
    <row r="42" spans="1:6" x14ac:dyDescent="0.35">
      <c r="B42" s="1" t="s">
        <v>179</v>
      </c>
      <c r="C42" s="1" t="s">
        <v>96</v>
      </c>
      <c r="D42" s="1">
        <f t="shared" ref="D42:D44" si="0">COUNTIFS($F$3:$F$38,C42,$E$3:$E$38,B42)</f>
        <v>0</v>
      </c>
    </row>
    <row r="43" spans="1:6" x14ac:dyDescent="0.35">
      <c r="B43" s="1" t="s">
        <v>149</v>
      </c>
      <c r="C43" s="1" t="s">
        <v>97</v>
      </c>
      <c r="D43" s="1">
        <f t="shared" si="0"/>
        <v>7</v>
      </c>
    </row>
    <row r="44" spans="1:6" x14ac:dyDescent="0.35">
      <c r="B44" s="1" t="s">
        <v>149</v>
      </c>
      <c r="C44" s="1" t="s">
        <v>96</v>
      </c>
      <c r="D44" s="1">
        <f t="shared" si="0"/>
        <v>28</v>
      </c>
    </row>
    <row r="45" spans="1:6" x14ac:dyDescent="0.35">
      <c r="D45">
        <f>SUM(D41:D44)</f>
        <v>35</v>
      </c>
    </row>
    <row r="46" spans="1:6" x14ac:dyDescent="0.35">
      <c r="B46" t="s">
        <v>423</v>
      </c>
    </row>
  </sheetData>
  <autoFilter ref="A2:F38" xr:uid="{2C3ABA6C-029F-4428-A2CD-8B5D66F14FED}"/>
  <conditionalFormatting sqref="B41:B42">
    <cfRule type="expression" dxfId="200" priority="6">
      <formula>MOD(ROW(),2)=0</formula>
    </cfRule>
    <cfRule type="expression" dxfId="199" priority="7">
      <formula>MOD(ROW(),2)=0</formula>
    </cfRule>
  </conditionalFormatting>
  <conditionalFormatting sqref="B41:B44">
    <cfRule type="expression" dxfId="198" priority="3">
      <formula>MOD(ROW(),2)=0</formula>
    </cfRule>
  </conditionalFormatting>
  <conditionalFormatting sqref="B43">
    <cfRule type="expression" dxfId="197" priority="1">
      <formula>MOD(ROW(),2)=0</formula>
    </cfRule>
    <cfRule type="expression" dxfId="196" priority="2">
      <formula>MOD(ROW(),2)=0</formula>
    </cfRule>
  </conditionalFormatting>
  <conditionalFormatting sqref="B44">
    <cfRule type="expression" dxfId="195" priority="4">
      <formula>MOD(ROW(),2)=0</formula>
    </cfRule>
    <cfRule type="expression" dxfId="194" priority="5">
      <formula>MOD(ROW(),2)=0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CA2B-E48E-4F0F-B742-6FFC801E9656}">
  <dimension ref="A1:E44"/>
  <sheetViews>
    <sheetView topLeftCell="A4" zoomScale="85" zoomScaleNormal="85" workbookViewId="0">
      <selection activeCell="B3" sqref="B3:B36"/>
    </sheetView>
  </sheetViews>
  <sheetFormatPr defaultRowHeight="14.5" x14ac:dyDescent="0.35"/>
  <cols>
    <col min="1" max="1" width="8.7265625" style="4"/>
    <col min="2" max="3" width="28.1796875" customWidth="1"/>
    <col min="4" max="4" width="23" bestFit="1" customWidth="1"/>
    <col min="5" max="5" width="11.6328125" bestFit="1" customWidth="1"/>
  </cols>
  <sheetData>
    <row r="1" spans="1:5" s="16" customFormat="1" x14ac:dyDescent="0.35">
      <c r="A1" s="16" t="s">
        <v>415</v>
      </c>
      <c r="D1" s="67">
        <v>46037</v>
      </c>
    </row>
    <row r="2" spans="1:5" s="16" customFormat="1" ht="14.5" customHeight="1" x14ac:dyDescent="0.35">
      <c r="A2" s="13" t="s">
        <v>0</v>
      </c>
      <c r="B2" s="61" t="s">
        <v>102</v>
      </c>
      <c r="C2" s="62" t="s">
        <v>104</v>
      </c>
      <c r="D2" s="62" t="s">
        <v>105</v>
      </c>
      <c r="E2" s="62" t="s">
        <v>106</v>
      </c>
    </row>
    <row r="3" spans="1:5" x14ac:dyDescent="0.35">
      <c r="A3" s="3">
        <v>1</v>
      </c>
      <c r="B3" s="1" t="s">
        <v>150</v>
      </c>
      <c r="C3" s="1" t="s">
        <v>118</v>
      </c>
      <c r="D3" s="1" t="s">
        <v>149</v>
      </c>
      <c r="E3" s="1" t="s">
        <v>96</v>
      </c>
    </row>
    <row r="4" spans="1:5" x14ac:dyDescent="0.35">
      <c r="A4" s="3">
        <v>2</v>
      </c>
      <c r="B4" s="1" t="s">
        <v>107</v>
      </c>
      <c r="C4" s="1" t="s">
        <v>118</v>
      </c>
      <c r="D4" s="1" t="s">
        <v>149</v>
      </c>
      <c r="E4" s="1" t="s">
        <v>96</v>
      </c>
    </row>
    <row r="5" spans="1:5" x14ac:dyDescent="0.35">
      <c r="A5" s="3">
        <v>3</v>
      </c>
      <c r="B5" s="1" t="s">
        <v>108</v>
      </c>
      <c r="C5" s="1" t="s">
        <v>119</v>
      </c>
      <c r="D5" s="1" t="s">
        <v>149</v>
      </c>
      <c r="E5" s="1" t="s">
        <v>96</v>
      </c>
    </row>
    <row r="6" spans="1:5" x14ac:dyDescent="0.35">
      <c r="A6" s="3">
        <v>4</v>
      </c>
      <c r="B6" s="1" t="s">
        <v>126</v>
      </c>
      <c r="C6" s="1" t="s">
        <v>128</v>
      </c>
      <c r="D6" s="1" t="s">
        <v>149</v>
      </c>
      <c r="E6" s="1" t="s">
        <v>96</v>
      </c>
    </row>
    <row r="7" spans="1:5" x14ac:dyDescent="0.35">
      <c r="A7" s="3">
        <v>5</v>
      </c>
      <c r="B7" s="1" t="s">
        <v>127</v>
      </c>
      <c r="C7" s="1" t="s">
        <v>120</v>
      </c>
      <c r="D7" s="1" t="s">
        <v>149</v>
      </c>
      <c r="E7" s="1" t="s">
        <v>96</v>
      </c>
    </row>
    <row r="8" spans="1:5" x14ac:dyDescent="0.35">
      <c r="A8" s="3">
        <v>6</v>
      </c>
      <c r="B8" s="1" t="s">
        <v>109</v>
      </c>
      <c r="C8" s="1" t="s">
        <v>120</v>
      </c>
      <c r="D8" s="1" t="s">
        <v>149</v>
      </c>
      <c r="E8" s="1" t="s">
        <v>96</v>
      </c>
    </row>
    <row r="9" spans="1:5" x14ac:dyDescent="0.35">
      <c r="A9" s="3">
        <v>7</v>
      </c>
      <c r="B9" s="1" t="s">
        <v>110</v>
      </c>
      <c r="C9" s="1" t="s">
        <v>121</v>
      </c>
      <c r="D9" s="1" t="s">
        <v>149</v>
      </c>
      <c r="E9" s="1" t="s">
        <v>96</v>
      </c>
    </row>
    <row r="10" spans="1:5" x14ac:dyDescent="0.35">
      <c r="A10" s="3">
        <v>8</v>
      </c>
      <c r="B10" s="1" t="s">
        <v>111</v>
      </c>
      <c r="C10" s="1" t="s">
        <v>120</v>
      </c>
      <c r="D10" s="1" t="s">
        <v>149</v>
      </c>
      <c r="E10" s="1" t="s">
        <v>96</v>
      </c>
    </row>
    <row r="11" spans="1:5" x14ac:dyDescent="0.35">
      <c r="A11" s="3">
        <v>9</v>
      </c>
      <c r="B11" s="1" t="s">
        <v>129</v>
      </c>
      <c r="C11" s="1" t="s">
        <v>122</v>
      </c>
      <c r="D11" s="1" t="s">
        <v>149</v>
      </c>
      <c r="E11" s="1" t="s">
        <v>96</v>
      </c>
    </row>
    <row r="12" spans="1:5" x14ac:dyDescent="0.35">
      <c r="A12" s="3">
        <v>10</v>
      </c>
      <c r="B12" s="1" t="s">
        <v>112</v>
      </c>
      <c r="C12" s="1" t="s">
        <v>123</v>
      </c>
      <c r="D12" s="1" t="s">
        <v>149</v>
      </c>
      <c r="E12" s="1" t="s">
        <v>96</v>
      </c>
    </row>
    <row r="13" spans="1:5" x14ac:dyDescent="0.35">
      <c r="A13" s="3">
        <v>11</v>
      </c>
      <c r="B13" s="1" t="s">
        <v>113</v>
      </c>
      <c r="C13" s="1" t="s">
        <v>123</v>
      </c>
      <c r="D13" s="1" t="s">
        <v>149</v>
      </c>
      <c r="E13" s="1" t="s">
        <v>97</v>
      </c>
    </row>
    <row r="14" spans="1:5" x14ac:dyDescent="0.35">
      <c r="A14" s="3">
        <v>12</v>
      </c>
      <c r="B14" s="1" t="s">
        <v>114</v>
      </c>
      <c r="C14" s="1" t="s">
        <v>124</v>
      </c>
      <c r="D14" s="1" t="s">
        <v>179</v>
      </c>
      <c r="E14" s="1" t="s">
        <v>97</v>
      </c>
    </row>
    <row r="15" spans="1:5" x14ac:dyDescent="0.35">
      <c r="A15" s="3">
        <v>13</v>
      </c>
      <c r="B15" s="1" t="s">
        <v>115</v>
      </c>
      <c r="C15" s="1" t="s">
        <v>125</v>
      </c>
      <c r="D15" s="1" t="s">
        <v>149</v>
      </c>
      <c r="E15" s="1" t="s">
        <v>96</v>
      </c>
    </row>
    <row r="16" spans="1:5" x14ac:dyDescent="0.35">
      <c r="A16" s="3">
        <v>14</v>
      </c>
      <c r="B16" s="1" t="s">
        <v>116</v>
      </c>
      <c r="C16" s="1" t="s">
        <v>119</v>
      </c>
      <c r="D16" s="1" t="s">
        <v>149</v>
      </c>
      <c r="E16" s="1" t="s">
        <v>96</v>
      </c>
    </row>
    <row r="17" spans="1:5" x14ac:dyDescent="0.35">
      <c r="A17" s="3">
        <v>15</v>
      </c>
      <c r="B17" s="1" t="s">
        <v>117</v>
      </c>
      <c r="C17" s="1" t="s">
        <v>122</v>
      </c>
      <c r="D17" s="1" t="s">
        <v>149</v>
      </c>
      <c r="E17" s="1" t="s">
        <v>96</v>
      </c>
    </row>
    <row r="18" spans="1:5" x14ac:dyDescent="0.35">
      <c r="A18" s="3">
        <v>16</v>
      </c>
      <c r="B18" s="1" t="s">
        <v>141</v>
      </c>
      <c r="C18" s="1" t="s">
        <v>120</v>
      </c>
      <c r="D18" s="1" t="s">
        <v>149</v>
      </c>
      <c r="E18" s="1" t="s">
        <v>96</v>
      </c>
    </row>
    <row r="19" spans="1:5" x14ac:dyDescent="0.35">
      <c r="A19" s="3">
        <v>17</v>
      </c>
      <c r="B19" s="1" t="s">
        <v>140</v>
      </c>
      <c r="C19" s="1" t="s">
        <v>120</v>
      </c>
      <c r="D19" s="1" t="s">
        <v>149</v>
      </c>
      <c r="E19" s="1" t="s">
        <v>96</v>
      </c>
    </row>
    <row r="20" spans="1:5" x14ac:dyDescent="0.35">
      <c r="A20" s="3">
        <v>18</v>
      </c>
      <c r="B20" s="1" t="s">
        <v>139</v>
      </c>
      <c r="C20" s="1" t="s">
        <v>120</v>
      </c>
      <c r="D20" s="1" t="s">
        <v>149</v>
      </c>
      <c r="E20" s="1" t="s">
        <v>96</v>
      </c>
    </row>
    <row r="21" spans="1:5" x14ac:dyDescent="0.35">
      <c r="A21" s="3">
        <v>19</v>
      </c>
      <c r="B21" s="1" t="s">
        <v>107</v>
      </c>
      <c r="C21" s="1" t="s">
        <v>121</v>
      </c>
      <c r="D21" s="1" t="s">
        <v>149</v>
      </c>
      <c r="E21" s="1" t="s">
        <v>96</v>
      </c>
    </row>
    <row r="22" spans="1:5" x14ac:dyDescent="0.35">
      <c r="A22" s="3">
        <v>20</v>
      </c>
      <c r="B22" s="1" t="s">
        <v>138</v>
      </c>
      <c r="C22" s="1" t="s">
        <v>120</v>
      </c>
      <c r="D22" s="1" t="s">
        <v>149</v>
      </c>
      <c r="E22" s="1" t="s">
        <v>96</v>
      </c>
    </row>
    <row r="23" spans="1:5" x14ac:dyDescent="0.35">
      <c r="A23" s="3">
        <v>21</v>
      </c>
      <c r="B23" s="1" t="s">
        <v>83</v>
      </c>
      <c r="C23" s="1" t="s">
        <v>121</v>
      </c>
      <c r="D23" s="1" t="s">
        <v>149</v>
      </c>
      <c r="E23" s="1" t="s">
        <v>96</v>
      </c>
    </row>
    <row r="24" spans="1:5" x14ac:dyDescent="0.35">
      <c r="A24" s="3">
        <v>22</v>
      </c>
      <c r="B24" s="1" t="s">
        <v>142</v>
      </c>
      <c r="C24" s="1" t="s">
        <v>147</v>
      </c>
      <c r="D24" s="1" t="s">
        <v>149</v>
      </c>
      <c r="E24" s="1" t="s">
        <v>96</v>
      </c>
    </row>
    <row r="25" spans="1:5" x14ac:dyDescent="0.35">
      <c r="A25" s="3">
        <v>23</v>
      </c>
      <c r="B25" s="1" t="s">
        <v>143</v>
      </c>
      <c r="C25" s="1" t="s">
        <v>121</v>
      </c>
      <c r="D25" s="1" t="s">
        <v>149</v>
      </c>
      <c r="E25" s="1" t="s">
        <v>96</v>
      </c>
    </row>
    <row r="26" spans="1:5" x14ac:dyDescent="0.35">
      <c r="A26" s="3">
        <v>24</v>
      </c>
      <c r="B26" s="1" t="s">
        <v>144</v>
      </c>
      <c r="C26" s="1" t="s">
        <v>147</v>
      </c>
      <c r="D26" s="1" t="s">
        <v>149</v>
      </c>
      <c r="E26" s="1" t="s">
        <v>96</v>
      </c>
    </row>
    <row r="27" spans="1:5" x14ac:dyDescent="0.35">
      <c r="A27" s="3">
        <v>25</v>
      </c>
      <c r="B27" s="1" t="s">
        <v>145</v>
      </c>
      <c r="C27" s="1" t="s">
        <v>148</v>
      </c>
      <c r="D27" s="1" t="s">
        <v>149</v>
      </c>
      <c r="E27" s="1" t="s">
        <v>96</v>
      </c>
    </row>
    <row r="28" spans="1:5" x14ac:dyDescent="0.35">
      <c r="A28" s="3">
        <v>26</v>
      </c>
      <c r="B28" s="1" t="s">
        <v>137</v>
      </c>
      <c r="C28" s="1" t="s">
        <v>121</v>
      </c>
      <c r="D28" s="1" t="s">
        <v>149</v>
      </c>
      <c r="E28" s="1" t="s">
        <v>96</v>
      </c>
    </row>
    <row r="29" spans="1:5" x14ac:dyDescent="0.35">
      <c r="A29" s="3">
        <v>27</v>
      </c>
      <c r="B29" s="1" t="s">
        <v>136</v>
      </c>
      <c r="C29" s="1" t="s">
        <v>135</v>
      </c>
      <c r="D29" s="1" t="s">
        <v>149</v>
      </c>
      <c r="E29" s="1" t="s">
        <v>97</v>
      </c>
    </row>
    <row r="30" spans="1:5" x14ac:dyDescent="0.35">
      <c r="A30" s="3">
        <v>28</v>
      </c>
      <c r="B30" s="1" t="s">
        <v>134</v>
      </c>
      <c r="C30" s="1" t="s">
        <v>120</v>
      </c>
      <c r="D30" s="1" t="s">
        <v>149</v>
      </c>
      <c r="E30" s="1" t="s">
        <v>97</v>
      </c>
    </row>
    <row r="31" spans="1:5" x14ac:dyDescent="0.35">
      <c r="A31" s="3">
        <v>29</v>
      </c>
      <c r="B31" s="1" t="s">
        <v>133</v>
      </c>
      <c r="C31" s="1" t="s">
        <v>120</v>
      </c>
      <c r="D31" s="1" t="s">
        <v>149</v>
      </c>
      <c r="E31" s="1" t="s">
        <v>96</v>
      </c>
    </row>
    <row r="32" spans="1:5" x14ac:dyDescent="0.35">
      <c r="A32" s="3">
        <v>30</v>
      </c>
      <c r="B32" s="1" t="s">
        <v>146</v>
      </c>
      <c r="C32" s="1" t="s">
        <v>121</v>
      </c>
      <c r="D32" s="1" t="s">
        <v>149</v>
      </c>
      <c r="E32" s="1" t="s">
        <v>96</v>
      </c>
    </row>
    <row r="33" spans="1:5" x14ac:dyDescent="0.35">
      <c r="A33" s="3">
        <v>31</v>
      </c>
      <c r="B33" s="1" t="s">
        <v>132</v>
      </c>
      <c r="C33" s="1" t="s">
        <v>118</v>
      </c>
      <c r="D33" s="1" t="s">
        <v>149</v>
      </c>
      <c r="E33" s="1" t="s">
        <v>96</v>
      </c>
    </row>
    <row r="34" spans="1:5" x14ac:dyDescent="0.35">
      <c r="A34" s="3">
        <v>32</v>
      </c>
      <c r="B34" s="1" t="s">
        <v>131</v>
      </c>
      <c r="C34" s="1" t="s">
        <v>118</v>
      </c>
      <c r="D34" s="1" t="s">
        <v>149</v>
      </c>
      <c r="E34" s="1" t="s">
        <v>96</v>
      </c>
    </row>
    <row r="35" spans="1:5" x14ac:dyDescent="0.35">
      <c r="A35" s="3">
        <v>33</v>
      </c>
      <c r="B35" s="1" t="s">
        <v>88</v>
      </c>
      <c r="C35" s="1" t="s">
        <v>58</v>
      </c>
      <c r="D35" s="1" t="s">
        <v>179</v>
      </c>
      <c r="E35" s="1" t="s">
        <v>97</v>
      </c>
    </row>
    <row r="36" spans="1:5" x14ac:dyDescent="0.35">
      <c r="A36" s="3">
        <v>34</v>
      </c>
      <c r="B36" s="1" t="s">
        <v>130</v>
      </c>
      <c r="C36" s="1" t="s">
        <v>58</v>
      </c>
      <c r="D36" s="1" t="s">
        <v>149</v>
      </c>
      <c r="E36" s="1" t="s">
        <v>96</v>
      </c>
    </row>
    <row r="39" spans="1:5" x14ac:dyDescent="0.35">
      <c r="B39" s="1" t="s">
        <v>179</v>
      </c>
      <c r="C39" s="1" t="s">
        <v>97</v>
      </c>
      <c r="D39" s="1">
        <f>COUNTIFS($E$3:$E$36,C39,$D$3:$D$36,B39)-1</f>
        <v>1</v>
      </c>
    </row>
    <row r="40" spans="1:5" x14ac:dyDescent="0.35">
      <c r="B40" s="1" t="s">
        <v>179</v>
      </c>
      <c r="C40" s="1" t="s">
        <v>96</v>
      </c>
      <c r="D40" s="1">
        <f>COUNTIFS($E$3:$E$36,C40,$D$3:$D$36,B40)</f>
        <v>0</v>
      </c>
    </row>
    <row r="41" spans="1:5" x14ac:dyDescent="0.35">
      <c r="B41" s="1" t="s">
        <v>149</v>
      </c>
      <c r="C41" s="1" t="s">
        <v>97</v>
      </c>
      <c r="D41" s="1">
        <f>COUNTIFS($E$3:$E$36,C41,$D$3:$D$36,B41)</f>
        <v>3</v>
      </c>
    </row>
    <row r="42" spans="1:5" x14ac:dyDescent="0.35">
      <c r="B42" s="1" t="s">
        <v>149</v>
      </c>
      <c r="C42" s="1" t="s">
        <v>96</v>
      </c>
      <c r="D42" s="1">
        <f>COUNTIFS($E$3:$E$36,C42,$D$3:$D$36,B42)-1</f>
        <v>28</v>
      </c>
    </row>
    <row r="43" spans="1:5" x14ac:dyDescent="0.35">
      <c r="D43">
        <f>SUM(D39:D42)</f>
        <v>32</v>
      </c>
    </row>
    <row r="44" spans="1:5" x14ac:dyDescent="0.35">
      <c r="B44" t="s">
        <v>424</v>
      </c>
    </row>
  </sheetData>
  <autoFilter ref="A2:E36" xr:uid="{CEF9CA2B-E48E-4F0F-B742-6FFC801E9656}"/>
  <conditionalFormatting sqref="B39:B40">
    <cfRule type="expression" dxfId="193" priority="6">
      <formula>MOD(ROW(),2)=0</formula>
    </cfRule>
    <cfRule type="expression" dxfId="192" priority="7">
      <formula>MOD(ROW(),2)=0</formula>
    </cfRule>
  </conditionalFormatting>
  <conditionalFormatting sqref="B39:B42">
    <cfRule type="expression" dxfId="191" priority="3">
      <formula>MOD(ROW(),2)=0</formula>
    </cfRule>
  </conditionalFormatting>
  <conditionalFormatting sqref="B41">
    <cfRule type="expression" dxfId="190" priority="1">
      <formula>MOD(ROW(),2)=0</formula>
    </cfRule>
    <cfRule type="expression" dxfId="189" priority="2">
      <formula>MOD(ROW(),2)=0</formula>
    </cfRule>
  </conditionalFormatting>
  <conditionalFormatting sqref="B42">
    <cfRule type="expression" dxfId="188" priority="4">
      <formula>MOD(ROW(),2)=0</formula>
    </cfRule>
    <cfRule type="expression" dxfId="187" priority="5">
      <formula>MOD(ROW(),2)=0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02F5-F9EA-4255-B80C-EE2AA2EAEE8E}">
  <dimension ref="A1:E45"/>
  <sheetViews>
    <sheetView zoomScale="85" zoomScaleNormal="85" workbookViewId="0">
      <selection sqref="A1:XFD1048576"/>
    </sheetView>
  </sheetViews>
  <sheetFormatPr defaultRowHeight="14.5" x14ac:dyDescent="0.35"/>
  <cols>
    <col min="1" max="1" width="8.6328125" style="4" bestFit="1" customWidth="1"/>
    <col min="2" max="2" width="15.81640625" bestFit="1" customWidth="1"/>
    <col min="3" max="4" width="21.90625" bestFit="1" customWidth="1"/>
    <col min="5" max="5" width="10.54296875" bestFit="1" customWidth="1"/>
  </cols>
  <sheetData>
    <row r="1" spans="1:5" s="16" customFormat="1" x14ac:dyDescent="0.35">
      <c r="A1" s="66" t="s">
        <v>416</v>
      </c>
      <c r="D1" s="67">
        <v>46140</v>
      </c>
    </row>
    <row r="2" spans="1:5" ht="29" x14ac:dyDescent="0.35">
      <c r="A2" s="13" t="s">
        <v>0</v>
      </c>
      <c r="B2" s="61" t="s">
        <v>102</v>
      </c>
      <c r="C2" s="62" t="s">
        <v>104</v>
      </c>
      <c r="D2" s="62" t="s">
        <v>105</v>
      </c>
      <c r="E2" s="62" t="s">
        <v>106</v>
      </c>
    </row>
    <row r="3" spans="1:5" x14ac:dyDescent="0.35">
      <c r="A3" s="3">
        <v>1</v>
      </c>
      <c r="B3" s="61" t="s">
        <v>83</v>
      </c>
      <c r="C3" s="1" t="s">
        <v>222</v>
      </c>
      <c r="D3" s="1" t="s">
        <v>149</v>
      </c>
      <c r="E3" s="1" t="s">
        <v>96</v>
      </c>
    </row>
    <row r="4" spans="1:5" x14ac:dyDescent="0.35">
      <c r="A4" s="3">
        <v>2</v>
      </c>
      <c r="B4" s="61" t="s">
        <v>240</v>
      </c>
      <c r="C4" s="1" t="s">
        <v>222</v>
      </c>
      <c r="D4" s="1" t="s">
        <v>149</v>
      </c>
      <c r="E4" s="1" t="s">
        <v>96</v>
      </c>
    </row>
    <row r="5" spans="1:5" x14ac:dyDescent="0.35">
      <c r="A5" s="3">
        <v>3</v>
      </c>
      <c r="B5" s="61" t="s">
        <v>239</v>
      </c>
      <c r="C5" s="1" t="s">
        <v>222</v>
      </c>
      <c r="D5" s="1" t="s">
        <v>149</v>
      </c>
      <c r="E5" s="1" t="s">
        <v>96</v>
      </c>
    </row>
    <row r="6" spans="1:5" x14ac:dyDescent="0.35">
      <c r="A6" s="3">
        <v>4</v>
      </c>
      <c r="B6" s="61" t="s">
        <v>238</v>
      </c>
      <c r="C6" s="1" t="s">
        <v>246</v>
      </c>
      <c r="D6" s="1" t="s">
        <v>149</v>
      </c>
      <c r="E6" s="1" t="s">
        <v>96</v>
      </c>
    </row>
    <row r="7" spans="1:5" x14ac:dyDescent="0.35">
      <c r="A7" s="3">
        <v>5</v>
      </c>
      <c r="B7" s="61" t="s">
        <v>241</v>
      </c>
      <c r="C7" s="1" t="s">
        <v>242</v>
      </c>
      <c r="D7" s="1" t="s">
        <v>149</v>
      </c>
      <c r="E7" s="1" t="s">
        <v>96</v>
      </c>
    </row>
    <row r="8" spans="1:5" x14ac:dyDescent="0.35">
      <c r="A8" s="3">
        <v>6</v>
      </c>
      <c r="B8" s="61" t="s">
        <v>237</v>
      </c>
      <c r="C8" s="1" t="s">
        <v>222</v>
      </c>
      <c r="D8" s="1" t="s">
        <v>149</v>
      </c>
      <c r="E8" s="1" t="s">
        <v>96</v>
      </c>
    </row>
    <row r="9" spans="1:5" x14ac:dyDescent="0.35">
      <c r="A9" s="3">
        <v>7</v>
      </c>
      <c r="B9" s="61" t="s">
        <v>236</v>
      </c>
      <c r="C9" s="1" t="s">
        <v>222</v>
      </c>
      <c r="D9" s="1" t="s">
        <v>149</v>
      </c>
      <c r="E9" s="1" t="s">
        <v>96</v>
      </c>
    </row>
    <row r="10" spans="1:5" x14ac:dyDescent="0.35">
      <c r="A10" s="3">
        <v>8</v>
      </c>
      <c r="B10" s="61" t="s">
        <v>243</v>
      </c>
      <c r="C10" s="1" t="s">
        <v>222</v>
      </c>
      <c r="D10" s="1" t="s">
        <v>149</v>
      </c>
      <c r="E10" s="1" t="s">
        <v>96</v>
      </c>
    </row>
    <row r="11" spans="1:5" x14ac:dyDescent="0.35">
      <c r="A11" s="3">
        <v>9</v>
      </c>
      <c r="B11" s="61" t="s">
        <v>235</v>
      </c>
      <c r="C11" s="1" t="s">
        <v>246</v>
      </c>
      <c r="D11" s="1" t="s">
        <v>149</v>
      </c>
      <c r="E11" s="1" t="s">
        <v>96</v>
      </c>
    </row>
    <row r="12" spans="1:5" x14ac:dyDescent="0.35">
      <c r="A12" s="3">
        <v>10</v>
      </c>
      <c r="B12" s="61" t="s">
        <v>244</v>
      </c>
      <c r="C12" s="1" t="s">
        <v>246</v>
      </c>
      <c r="D12" s="1" t="s">
        <v>149</v>
      </c>
      <c r="E12" s="1" t="s">
        <v>96</v>
      </c>
    </row>
    <row r="13" spans="1:5" x14ac:dyDescent="0.35">
      <c r="A13" s="3">
        <v>11</v>
      </c>
      <c r="B13" s="61" t="s">
        <v>234</v>
      </c>
      <c r="C13" s="1" t="s">
        <v>222</v>
      </c>
      <c r="D13" s="1" t="s">
        <v>149</v>
      </c>
      <c r="E13" s="1" t="s">
        <v>96</v>
      </c>
    </row>
    <row r="14" spans="1:5" x14ac:dyDescent="0.35">
      <c r="A14" s="3">
        <v>12</v>
      </c>
      <c r="B14" s="61" t="s">
        <v>245</v>
      </c>
      <c r="C14" s="1" t="s">
        <v>222</v>
      </c>
      <c r="D14" s="1" t="s">
        <v>149</v>
      </c>
      <c r="E14" s="1" t="s">
        <v>96</v>
      </c>
    </row>
    <row r="15" spans="1:5" x14ac:dyDescent="0.35">
      <c r="A15" s="3">
        <v>13</v>
      </c>
      <c r="B15" s="61" t="s">
        <v>233</v>
      </c>
      <c r="C15" s="1" t="s">
        <v>222</v>
      </c>
      <c r="D15" s="1" t="s">
        <v>149</v>
      </c>
      <c r="E15" s="1" t="s">
        <v>96</v>
      </c>
    </row>
    <row r="16" spans="1:5" x14ac:dyDescent="0.35">
      <c r="A16" s="3">
        <v>14</v>
      </c>
      <c r="B16" s="61" t="s">
        <v>232</v>
      </c>
      <c r="C16" s="1" t="s">
        <v>222</v>
      </c>
      <c r="D16" s="1" t="s">
        <v>149</v>
      </c>
      <c r="E16" s="1" t="s">
        <v>97</v>
      </c>
    </row>
    <row r="17" spans="1:5" x14ac:dyDescent="0.35">
      <c r="A17" s="3">
        <v>15</v>
      </c>
      <c r="B17" s="61" t="s">
        <v>231</v>
      </c>
      <c r="C17" s="1" t="s">
        <v>222</v>
      </c>
      <c r="D17" s="1" t="s">
        <v>149</v>
      </c>
      <c r="E17" s="1" t="s">
        <v>96</v>
      </c>
    </row>
    <row r="18" spans="1:5" x14ac:dyDescent="0.35">
      <c r="A18" s="3">
        <v>16</v>
      </c>
      <c r="B18" s="61" t="s">
        <v>247</v>
      </c>
      <c r="C18" s="1" t="s">
        <v>222</v>
      </c>
      <c r="D18" s="1" t="s">
        <v>149</v>
      </c>
      <c r="E18" s="1" t="s">
        <v>97</v>
      </c>
    </row>
    <row r="19" spans="1:5" x14ac:dyDescent="0.35">
      <c r="A19" s="3">
        <v>17</v>
      </c>
      <c r="B19" s="61" t="s">
        <v>230</v>
      </c>
      <c r="C19" s="1" t="s">
        <v>222</v>
      </c>
      <c r="D19" s="1" t="s">
        <v>149</v>
      </c>
      <c r="E19" s="1" t="s">
        <v>97</v>
      </c>
    </row>
    <row r="20" spans="1:5" x14ac:dyDescent="0.35">
      <c r="A20" s="3">
        <v>18</v>
      </c>
      <c r="B20" s="61" t="s">
        <v>248</v>
      </c>
      <c r="C20" s="1" t="s">
        <v>222</v>
      </c>
      <c r="D20" s="1" t="s">
        <v>149</v>
      </c>
      <c r="E20" s="1" t="s">
        <v>96</v>
      </c>
    </row>
    <row r="21" spans="1:5" x14ac:dyDescent="0.35">
      <c r="A21" s="3">
        <v>19</v>
      </c>
      <c r="B21" s="61" t="s">
        <v>249</v>
      </c>
      <c r="C21" s="1" t="s">
        <v>222</v>
      </c>
      <c r="D21" s="1" t="s">
        <v>149</v>
      </c>
      <c r="E21" s="1" t="s">
        <v>96</v>
      </c>
    </row>
    <row r="22" spans="1:5" x14ac:dyDescent="0.35">
      <c r="A22" s="3">
        <v>20</v>
      </c>
      <c r="B22" s="61" t="s">
        <v>250</v>
      </c>
      <c r="C22" s="1" t="s">
        <v>222</v>
      </c>
      <c r="D22" s="1" t="s">
        <v>149</v>
      </c>
      <c r="E22" s="1" t="s">
        <v>96</v>
      </c>
    </row>
    <row r="23" spans="1:5" x14ac:dyDescent="0.35">
      <c r="A23" s="3">
        <v>21</v>
      </c>
      <c r="B23" s="61" t="s">
        <v>229</v>
      </c>
      <c r="C23" s="1" t="s">
        <v>222</v>
      </c>
      <c r="D23" s="1" t="s">
        <v>149</v>
      </c>
      <c r="E23" s="1" t="s">
        <v>96</v>
      </c>
    </row>
    <row r="24" spans="1:5" x14ac:dyDescent="0.35">
      <c r="A24" s="3">
        <v>22</v>
      </c>
      <c r="B24" s="61" t="s">
        <v>251</v>
      </c>
      <c r="C24" s="1" t="s">
        <v>222</v>
      </c>
      <c r="D24" s="1" t="s">
        <v>149</v>
      </c>
      <c r="E24" s="1" t="s">
        <v>96</v>
      </c>
    </row>
    <row r="25" spans="1:5" x14ac:dyDescent="0.35">
      <c r="A25" s="3">
        <v>23</v>
      </c>
      <c r="B25" s="61" t="s">
        <v>252</v>
      </c>
      <c r="C25" s="1" t="s">
        <v>222</v>
      </c>
      <c r="D25" s="1" t="s">
        <v>149</v>
      </c>
      <c r="E25" s="1" t="s">
        <v>96</v>
      </c>
    </row>
    <row r="26" spans="1:5" x14ac:dyDescent="0.35">
      <c r="A26" s="3">
        <v>24</v>
      </c>
      <c r="B26" s="61" t="s">
        <v>253</v>
      </c>
      <c r="C26" s="1" t="s">
        <v>222</v>
      </c>
      <c r="D26" s="1" t="s">
        <v>149</v>
      </c>
      <c r="E26" s="1" t="s">
        <v>96</v>
      </c>
    </row>
    <row r="27" spans="1:5" x14ac:dyDescent="0.35">
      <c r="A27" s="3">
        <v>25</v>
      </c>
      <c r="B27" s="61" t="s">
        <v>228</v>
      </c>
      <c r="C27" s="1" t="s">
        <v>222</v>
      </c>
      <c r="D27" s="1" t="s">
        <v>149</v>
      </c>
      <c r="E27" s="1" t="s">
        <v>96</v>
      </c>
    </row>
    <row r="28" spans="1:5" x14ac:dyDescent="0.35">
      <c r="A28" s="3">
        <v>26</v>
      </c>
      <c r="B28" s="61" t="s">
        <v>254</v>
      </c>
      <c r="C28" s="1" t="s">
        <v>222</v>
      </c>
      <c r="D28" s="1" t="s">
        <v>149</v>
      </c>
      <c r="E28" s="1" t="s">
        <v>96</v>
      </c>
    </row>
    <row r="29" spans="1:5" x14ac:dyDescent="0.35">
      <c r="A29" s="3">
        <v>27</v>
      </c>
      <c r="B29" s="61" t="s">
        <v>255</v>
      </c>
      <c r="C29" s="1" t="s">
        <v>222</v>
      </c>
      <c r="D29" s="1" t="s">
        <v>149</v>
      </c>
      <c r="E29" s="1" t="s">
        <v>96</v>
      </c>
    </row>
    <row r="30" spans="1:5" x14ac:dyDescent="0.35">
      <c r="A30" s="3">
        <v>28</v>
      </c>
      <c r="B30" s="61" t="s">
        <v>227</v>
      </c>
      <c r="C30" s="1" t="s">
        <v>222</v>
      </c>
      <c r="D30" s="1" t="s">
        <v>149</v>
      </c>
      <c r="E30" s="1" t="s">
        <v>96</v>
      </c>
    </row>
    <row r="31" spans="1:5" x14ac:dyDescent="0.35">
      <c r="A31" s="3">
        <v>29</v>
      </c>
      <c r="B31" s="61" t="s">
        <v>226</v>
      </c>
      <c r="C31" s="1" t="s">
        <v>222</v>
      </c>
      <c r="D31" s="1" t="s">
        <v>149</v>
      </c>
      <c r="E31" s="1" t="s">
        <v>96</v>
      </c>
    </row>
    <row r="32" spans="1:5" x14ac:dyDescent="0.35">
      <c r="A32" s="3">
        <v>30</v>
      </c>
      <c r="B32" s="61" t="s">
        <v>256</v>
      </c>
      <c r="C32" s="1" t="s">
        <v>225</v>
      </c>
      <c r="D32" s="1" t="s">
        <v>149</v>
      </c>
      <c r="E32" s="1" t="s">
        <v>96</v>
      </c>
    </row>
    <row r="33" spans="1:5" x14ac:dyDescent="0.35">
      <c r="A33" s="3">
        <v>31</v>
      </c>
      <c r="B33" s="61" t="s">
        <v>259</v>
      </c>
      <c r="C33" s="1" t="s">
        <v>225</v>
      </c>
      <c r="D33" s="1" t="s">
        <v>149</v>
      </c>
      <c r="E33" s="1" t="s">
        <v>97</v>
      </c>
    </row>
    <row r="34" spans="1:5" x14ac:dyDescent="0.35">
      <c r="A34" s="3">
        <v>32</v>
      </c>
      <c r="B34" s="61" t="s">
        <v>257</v>
      </c>
      <c r="C34" s="1" t="s">
        <v>225</v>
      </c>
      <c r="D34" s="1" t="s">
        <v>149</v>
      </c>
      <c r="E34" s="1" t="s">
        <v>97</v>
      </c>
    </row>
    <row r="35" spans="1:5" x14ac:dyDescent="0.35">
      <c r="A35" s="3">
        <v>33</v>
      </c>
      <c r="B35" s="61" t="s">
        <v>224</v>
      </c>
      <c r="C35" s="1" t="s">
        <v>58</v>
      </c>
      <c r="D35" s="1" t="s">
        <v>179</v>
      </c>
      <c r="E35" s="1" t="s">
        <v>97</v>
      </c>
    </row>
    <row r="36" spans="1:5" x14ac:dyDescent="0.35">
      <c r="A36" s="3">
        <v>34</v>
      </c>
      <c r="B36" s="61" t="s">
        <v>223</v>
      </c>
      <c r="C36" s="1" t="s">
        <v>191</v>
      </c>
      <c r="D36" s="1" t="s">
        <v>149</v>
      </c>
      <c r="E36" s="1" t="s">
        <v>96</v>
      </c>
    </row>
    <row r="37" spans="1:5" x14ac:dyDescent="0.35">
      <c r="A37" s="3">
        <v>35</v>
      </c>
      <c r="B37" s="61" t="s">
        <v>258</v>
      </c>
      <c r="C37" s="1" t="s">
        <v>191</v>
      </c>
      <c r="D37" s="1" t="s">
        <v>149</v>
      </c>
      <c r="E37" s="1" t="s">
        <v>97</v>
      </c>
    </row>
    <row r="40" spans="1:5" x14ac:dyDescent="0.35">
      <c r="B40" s="1" t="s">
        <v>179</v>
      </c>
      <c r="C40" s="1" t="s">
        <v>97</v>
      </c>
      <c r="D40" s="1">
        <f>COUNTIFS($E$3:$E$37,C40,$D$3:$D$37,B40)-1</f>
        <v>0</v>
      </c>
    </row>
    <row r="41" spans="1:5" x14ac:dyDescent="0.35">
      <c r="B41" s="1" t="s">
        <v>179</v>
      </c>
      <c r="C41" s="1" t="s">
        <v>96</v>
      </c>
      <c r="D41" s="1">
        <f>COUNTIFS($E$3:$E$37,C41,$D$3:$D$37,B41)</f>
        <v>0</v>
      </c>
    </row>
    <row r="42" spans="1:5" x14ac:dyDescent="0.35">
      <c r="B42" s="1" t="s">
        <v>149</v>
      </c>
      <c r="C42" s="1" t="s">
        <v>97</v>
      </c>
      <c r="D42" s="1">
        <f>COUNTIFS($E$3:$E$37,C42,$D$3:$D$37,B42)</f>
        <v>6</v>
      </c>
    </row>
    <row r="43" spans="1:5" x14ac:dyDescent="0.35">
      <c r="B43" s="1" t="s">
        <v>149</v>
      </c>
      <c r="C43" s="1" t="s">
        <v>96</v>
      </c>
      <c r="D43" s="1">
        <f>COUNTIFS($E$3:$E$37,C43,$D$3:$D$37,B43)</f>
        <v>28</v>
      </c>
    </row>
    <row r="44" spans="1:5" x14ac:dyDescent="0.35">
      <c r="D44">
        <f>SUM(D40:D43)</f>
        <v>34</v>
      </c>
    </row>
    <row r="45" spans="1:5" x14ac:dyDescent="0.35">
      <c r="B45" t="s">
        <v>423</v>
      </c>
    </row>
  </sheetData>
  <autoFilter ref="A2:E37" xr:uid="{31A902F5-F9EA-4255-B80C-EE2AA2EAEE8E}"/>
  <conditionalFormatting sqref="B40:B41">
    <cfRule type="expression" dxfId="186" priority="6">
      <formula>MOD(ROW(),2)=0</formula>
    </cfRule>
    <cfRule type="expression" dxfId="185" priority="7">
      <formula>MOD(ROW(),2)=0</formula>
    </cfRule>
  </conditionalFormatting>
  <conditionalFormatting sqref="B40:B43">
    <cfRule type="expression" dxfId="184" priority="3">
      <formula>MOD(ROW(),2)=0</formula>
    </cfRule>
  </conditionalFormatting>
  <conditionalFormatting sqref="B42">
    <cfRule type="expression" dxfId="183" priority="1">
      <formula>MOD(ROW(),2)=0</formula>
    </cfRule>
    <cfRule type="expression" dxfId="182" priority="2">
      <formula>MOD(ROW(),2)=0</formula>
    </cfRule>
  </conditionalFormatting>
  <conditionalFormatting sqref="B43">
    <cfRule type="expression" dxfId="181" priority="4">
      <formula>MOD(ROW(),2)=0</formula>
    </cfRule>
    <cfRule type="expression" dxfId="180" priority="5">
      <formula>MOD(ROW(),2)=0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3196-7379-4E00-A764-D76538DF758A}">
  <dimension ref="A1:F41"/>
  <sheetViews>
    <sheetView topLeftCell="A18" workbookViewId="0">
      <selection activeCell="B3" sqref="B3:C35"/>
    </sheetView>
  </sheetViews>
  <sheetFormatPr defaultRowHeight="14.5" x14ac:dyDescent="0.35"/>
  <cols>
    <col min="2" max="3" width="29.6328125" customWidth="1"/>
    <col min="4" max="4" width="18.453125" hidden="1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418</v>
      </c>
      <c r="E1" s="16" t="s">
        <v>417</v>
      </c>
    </row>
    <row r="2" spans="1:6" ht="29" x14ac:dyDescent="0.35">
      <c r="A2" s="13" t="s">
        <v>0</v>
      </c>
      <c r="B2" s="61" t="s">
        <v>102</v>
      </c>
      <c r="C2" s="62" t="s">
        <v>104</v>
      </c>
      <c r="D2" s="63" t="s">
        <v>293</v>
      </c>
      <c r="E2" s="62" t="s">
        <v>105</v>
      </c>
      <c r="F2" s="62" t="s">
        <v>106</v>
      </c>
    </row>
    <row r="3" spans="1:6" x14ac:dyDescent="0.35">
      <c r="A3" s="64">
        <v>1</v>
      </c>
      <c r="B3" s="64" t="s">
        <v>273</v>
      </c>
      <c r="C3" s="64" t="s">
        <v>260</v>
      </c>
      <c r="D3" s="1"/>
      <c r="E3" s="1" t="s">
        <v>149</v>
      </c>
      <c r="F3" s="64" t="s">
        <v>96</v>
      </c>
    </row>
    <row r="4" spans="1:6" x14ac:dyDescent="0.35">
      <c r="A4" s="64">
        <v>2</v>
      </c>
      <c r="B4" s="64" t="s">
        <v>253</v>
      </c>
      <c r="C4" s="64" t="s">
        <v>260</v>
      </c>
      <c r="D4" s="1"/>
      <c r="E4" s="1" t="s">
        <v>149</v>
      </c>
      <c r="F4" s="64" t="s">
        <v>96</v>
      </c>
    </row>
    <row r="5" spans="1:6" x14ac:dyDescent="0.35">
      <c r="A5" s="64">
        <v>3</v>
      </c>
      <c r="B5" s="64" t="s">
        <v>267</v>
      </c>
      <c r="C5" s="64" t="s">
        <v>260</v>
      </c>
      <c r="D5" s="1"/>
      <c r="E5" s="1" t="s">
        <v>149</v>
      </c>
      <c r="F5" s="64" t="s">
        <v>96</v>
      </c>
    </row>
    <row r="6" spans="1:6" x14ac:dyDescent="0.35">
      <c r="A6" s="64">
        <v>4</v>
      </c>
      <c r="B6" s="64" t="s">
        <v>274</v>
      </c>
      <c r="C6" s="64" t="s">
        <v>260</v>
      </c>
      <c r="D6" s="1"/>
      <c r="E6" s="1" t="s">
        <v>149</v>
      </c>
      <c r="F6" s="64" t="s">
        <v>96</v>
      </c>
    </row>
    <row r="7" spans="1:6" x14ac:dyDescent="0.35">
      <c r="A7" s="64">
        <v>5</v>
      </c>
      <c r="B7" s="64" t="s">
        <v>261</v>
      </c>
      <c r="C7" s="64" t="s">
        <v>260</v>
      </c>
      <c r="D7" s="1"/>
      <c r="E7" s="1" t="s">
        <v>149</v>
      </c>
      <c r="F7" s="64" t="s">
        <v>96</v>
      </c>
    </row>
    <row r="8" spans="1:6" x14ac:dyDescent="0.35">
      <c r="A8" s="64">
        <v>6</v>
      </c>
      <c r="B8" s="64" t="s">
        <v>262</v>
      </c>
      <c r="C8" s="64" t="s">
        <v>260</v>
      </c>
      <c r="D8" s="1"/>
      <c r="E8" s="1" t="s">
        <v>149</v>
      </c>
      <c r="F8" s="64" t="s">
        <v>96</v>
      </c>
    </row>
    <row r="9" spans="1:6" x14ac:dyDescent="0.35">
      <c r="A9" s="64">
        <v>7</v>
      </c>
      <c r="B9" s="64" t="s">
        <v>263</v>
      </c>
      <c r="C9" s="64" t="s">
        <v>260</v>
      </c>
      <c r="D9" s="1"/>
      <c r="E9" s="1" t="s">
        <v>149</v>
      </c>
      <c r="F9" s="64" t="s">
        <v>96</v>
      </c>
    </row>
    <row r="10" spans="1:6" x14ac:dyDescent="0.35">
      <c r="A10" s="64">
        <v>8</v>
      </c>
      <c r="B10" s="64" t="s">
        <v>264</v>
      </c>
      <c r="C10" s="64" t="s">
        <v>260</v>
      </c>
      <c r="D10" s="1"/>
      <c r="E10" s="1" t="s">
        <v>149</v>
      </c>
      <c r="F10" s="64" t="s">
        <v>96</v>
      </c>
    </row>
    <row r="11" spans="1:6" x14ac:dyDescent="0.35">
      <c r="A11" s="64">
        <v>9</v>
      </c>
      <c r="B11" s="64" t="s">
        <v>265</v>
      </c>
      <c r="C11" s="64" t="s">
        <v>260</v>
      </c>
      <c r="D11" s="1"/>
      <c r="E11" s="1" t="s">
        <v>149</v>
      </c>
      <c r="F11" s="64" t="s">
        <v>96</v>
      </c>
    </row>
    <row r="12" spans="1:6" x14ac:dyDescent="0.35">
      <c r="A12" s="64">
        <v>10</v>
      </c>
      <c r="B12" s="64" t="s">
        <v>266</v>
      </c>
      <c r="C12" s="64" t="s">
        <v>260</v>
      </c>
      <c r="D12" s="1"/>
      <c r="E12" s="1" t="s">
        <v>149</v>
      </c>
      <c r="F12" s="64" t="s">
        <v>96</v>
      </c>
    </row>
    <row r="13" spans="1:6" x14ac:dyDescent="0.35">
      <c r="A13" s="64">
        <v>11</v>
      </c>
      <c r="B13" s="64" t="s">
        <v>275</v>
      </c>
      <c r="C13" s="64" t="s">
        <v>260</v>
      </c>
      <c r="D13" s="1"/>
      <c r="E13" s="1" t="s">
        <v>149</v>
      </c>
      <c r="F13" s="64" t="s">
        <v>96</v>
      </c>
    </row>
    <row r="14" spans="1:6" x14ac:dyDescent="0.35">
      <c r="A14" s="64">
        <v>12</v>
      </c>
      <c r="B14" s="64" t="s">
        <v>268</v>
      </c>
      <c r="C14" s="64" t="s">
        <v>260</v>
      </c>
      <c r="D14" s="1"/>
      <c r="E14" s="1" t="s">
        <v>149</v>
      </c>
      <c r="F14" s="64" t="s">
        <v>97</v>
      </c>
    </row>
    <row r="15" spans="1:6" x14ac:dyDescent="0.35">
      <c r="A15" s="64">
        <v>13</v>
      </c>
      <c r="B15" s="64" t="s">
        <v>276</v>
      </c>
      <c r="C15" s="64" t="s">
        <v>260</v>
      </c>
      <c r="D15" s="1"/>
      <c r="E15" s="1" t="s">
        <v>149</v>
      </c>
      <c r="F15" s="64" t="s">
        <v>96</v>
      </c>
    </row>
    <row r="16" spans="1:6" x14ac:dyDescent="0.35">
      <c r="A16" s="64">
        <v>14</v>
      </c>
      <c r="B16" s="64" t="s">
        <v>269</v>
      </c>
      <c r="C16" s="64" t="s">
        <v>260</v>
      </c>
      <c r="D16" s="1"/>
      <c r="E16" s="1" t="s">
        <v>149</v>
      </c>
      <c r="F16" s="64" t="s">
        <v>96</v>
      </c>
    </row>
    <row r="17" spans="1:6" x14ac:dyDescent="0.35">
      <c r="A17" s="64">
        <v>15</v>
      </c>
      <c r="B17" s="64" t="s">
        <v>270</v>
      </c>
      <c r="C17" s="64" t="s">
        <v>260</v>
      </c>
      <c r="D17" s="1"/>
      <c r="E17" s="1" t="s">
        <v>149</v>
      </c>
      <c r="F17" s="64" t="s">
        <v>96</v>
      </c>
    </row>
    <row r="18" spans="1:6" x14ac:dyDescent="0.35">
      <c r="A18" s="64">
        <v>16</v>
      </c>
      <c r="B18" s="64" t="s">
        <v>290</v>
      </c>
      <c r="C18" s="64" t="s">
        <v>260</v>
      </c>
      <c r="D18" s="1"/>
      <c r="E18" s="1" t="s">
        <v>149</v>
      </c>
      <c r="F18" s="64" t="s">
        <v>96</v>
      </c>
    </row>
    <row r="19" spans="1:6" x14ac:dyDescent="0.35">
      <c r="A19" s="64">
        <v>17</v>
      </c>
      <c r="B19" s="64" t="s">
        <v>168</v>
      </c>
      <c r="C19" s="64" t="s">
        <v>260</v>
      </c>
      <c r="D19" s="1"/>
      <c r="E19" s="1" t="s">
        <v>149</v>
      </c>
      <c r="F19" s="64" t="s">
        <v>96</v>
      </c>
    </row>
    <row r="20" spans="1:6" x14ac:dyDescent="0.35">
      <c r="A20" s="64">
        <v>18</v>
      </c>
      <c r="B20" s="64" t="s">
        <v>264</v>
      </c>
      <c r="C20" s="64" t="s">
        <v>260</v>
      </c>
      <c r="D20" s="1"/>
      <c r="E20" s="1" t="s">
        <v>149</v>
      </c>
      <c r="F20" s="64" t="s">
        <v>96</v>
      </c>
    </row>
    <row r="21" spans="1:6" x14ac:dyDescent="0.35">
      <c r="A21" s="64">
        <v>19</v>
      </c>
      <c r="B21" s="64" t="s">
        <v>289</v>
      </c>
      <c r="C21" s="64" t="s">
        <v>260</v>
      </c>
      <c r="D21" s="1"/>
      <c r="E21" s="1" t="s">
        <v>149</v>
      </c>
      <c r="F21" s="64" t="s">
        <v>96</v>
      </c>
    </row>
    <row r="22" spans="1:6" x14ac:dyDescent="0.35">
      <c r="A22" s="64">
        <v>20</v>
      </c>
      <c r="B22" s="64" t="s">
        <v>291</v>
      </c>
      <c r="C22" s="64" t="s">
        <v>260</v>
      </c>
      <c r="D22" s="1"/>
      <c r="E22" s="1" t="s">
        <v>149</v>
      </c>
      <c r="F22" s="64" t="s">
        <v>96</v>
      </c>
    </row>
    <row r="23" spans="1:6" x14ac:dyDescent="0.35">
      <c r="A23" s="64">
        <v>21</v>
      </c>
      <c r="B23" s="64" t="s">
        <v>288</v>
      </c>
      <c r="C23" s="64" t="s">
        <v>260</v>
      </c>
      <c r="D23" s="1"/>
      <c r="E23" s="1" t="s">
        <v>149</v>
      </c>
      <c r="F23" s="64" t="s">
        <v>96</v>
      </c>
    </row>
    <row r="24" spans="1:6" x14ac:dyDescent="0.35">
      <c r="A24" s="64">
        <v>22</v>
      </c>
      <c r="B24" s="64" t="s">
        <v>287</v>
      </c>
      <c r="C24" s="64" t="s">
        <v>260</v>
      </c>
      <c r="D24" s="1"/>
      <c r="E24" s="1" t="s">
        <v>149</v>
      </c>
      <c r="F24" s="64" t="s">
        <v>96</v>
      </c>
    </row>
    <row r="25" spans="1:6" x14ac:dyDescent="0.35">
      <c r="A25" s="64">
        <v>23</v>
      </c>
      <c r="B25" s="64" t="s">
        <v>286</v>
      </c>
      <c r="C25" s="64" t="s">
        <v>260</v>
      </c>
      <c r="D25" s="1"/>
      <c r="E25" s="1" t="s">
        <v>149</v>
      </c>
      <c r="F25" s="64" t="s">
        <v>96</v>
      </c>
    </row>
    <row r="26" spans="1:6" x14ac:dyDescent="0.35">
      <c r="A26" s="64">
        <v>24</v>
      </c>
      <c r="B26" s="64" t="s">
        <v>285</v>
      </c>
      <c r="C26" s="64" t="s">
        <v>260</v>
      </c>
      <c r="D26" s="1"/>
      <c r="E26" s="1" t="s">
        <v>149</v>
      </c>
      <c r="F26" s="64" t="s">
        <v>97</v>
      </c>
    </row>
    <row r="27" spans="1:6" x14ac:dyDescent="0.35">
      <c r="A27" s="64">
        <v>25</v>
      </c>
      <c r="B27" s="64" t="s">
        <v>284</v>
      </c>
      <c r="C27" s="64" t="s">
        <v>292</v>
      </c>
      <c r="D27" s="1"/>
      <c r="E27" s="1" t="s">
        <v>149</v>
      </c>
      <c r="F27" s="64" t="s">
        <v>96</v>
      </c>
    </row>
    <row r="28" spans="1:6" x14ac:dyDescent="0.35">
      <c r="A28" s="64">
        <v>26</v>
      </c>
      <c r="B28" s="64" t="s">
        <v>283</v>
      </c>
      <c r="C28" s="64" t="s">
        <v>191</v>
      </c>
      <c r="D28" s="1"/>
      <c r="E28" s="1" t="s">
        <v>149</v>
      </c>
      <c r="F28" s="64" t="s">
        <v>96</v>
      </c>
    </row>
    <row r="29" spans="1:6" x14ac:dyDescent="0.35">
      <c r="A29" s="64">
        <v>27</v>
      </c>
      <c r="B29" s="64" t="s">
        <v>282</v>
      </c>
      <c r="C29" s="64" t="s">
        <v>277</v>
      </c>
      <c r="D29" s="1"/>
      <c r="E29" s="1" t="s">
        <v>149</v>
      </c>
      <c r="F29" s="64" t="s">
        <v>96</v>
      </c>
    </row>
    <row r="30" spans="1:6" x14ac:dyDescent="0.35">
      <c r="A30" s="64">
        <v>28</v>
      </c>
      <c r="B30" s="64" t="s">
        <v>281</v>
      </c>
      <c r="C30" s="64" t="s">
        <v>280</v>
      </c>
      <c r="D30" s="1"/>
      <c r="E30" s="1" t="s">
        <v>149</v>
      </c>
      <c r="F30" s="64" t="s">
        <v>96</v>
      </c>
    </row>
    <row r="31" spans="1:6" x14ac:dyDescent="0.35">
      <c r="A31" s="64">
        <v>29</v>
      </c>
      <c r="B31" s="64" t="s">
        <v>279</v>
      </c>
      <c r="C31" s="64" t="s">
        <v>260</v>
      </c>
      <c r="D31" s="1"/>
      <c r="E31" s="1" t="s">
        <v>149</v>
      </c>
      <c r="F31" s="64" t="s">
        <v>96</v>
      </c>
    </row>
    <row r="32" spans="1:6" x14ac:dyDescent="0.35">
      <c r="A32" s="64">
        <v>30</v>
      </c>
      <c r="B32" s="64" t="s">
        <v>278</v>
      </c>
      <c r="C32" s="64" t="s">
        <v>277</v>
      </c>
      <c r="D32" s="1"/>
      <c r="E32" s="1" t="s">
        <v>149</v>
      </c>
      <c r="F32" s="64" t="s">
        <v>97</v>
      </c>
    </row>
    <row r="33" spans="1:6" x14ac:dyDescent="0.35">
      <c r="A33" s="64">
        <v>31</v>
      </c>
      <c r="B33" s="64" t="s">
        <v>271</v>
      </c>
      <c r="C33" s="64" t="s">
        <v>260</v>
      </c>
      <c r="D33" s="1"/>
      <c r="E33" s="1" t="s">
        <v>149</v>
      </c>
      <c r="F33" s="64" t="s">
        <v>97</v>
      </c>
    </row>
    <row r="34" spans="1:6" x14ac:dyDescent="0.35">
      <c r="A34" s="64">
        <v>32</v>
      </c>
      <c r="B34" s="64" t="s">
        <v>200</v>
      </c>
      <c r="C34" s="64" t="s">
        <v>260</v>
      </c>
      <c r="D34" s="1"/>
      <c r="E34" s="1" t="s">
        <v>149</v>
      </c>
      <c r="F34" s="64" t="s">
        <v>97</v>
      </c>
    </row>
    <row r="35" spans="1:6" x14ac:dyDescent="0.35">
      <c r="A35" s="64">
        <v>33</v>
      </c>
      <c r="B35" s="64" t="s">
        <v>272</v>
      </c>
      <c r="C35" s="64" t="s">
        <v>260</v>
      </c>
      <c r="D35" s="1"/>
      <c r="E35" s="1" t="s">
        <v>149</v>
      </c>
      <c r="F35" s="64" t="s">
        <v>96</v>
      </c>
    </row>
    <row r="37" spans="1:6" x14ac:dyDescent="0.35">
      <c r="B37" s="1" t="s">
        <v>179</v>
      </c>
      <c r="C37" s="1" t="s">
        <v>97</v>
      </c>
      <c r="E37" s="1">
        <f>COUNTIFS($F$3:$F$35,C37,$E$3:$E$35,B37)</f>
        <v>0</v>
      </c>
    </row>
    <row r="38" spans="1:6" x14ac:dyDescent="0.35">
      <c r="B38" s="1" t="s">
        <v>179</v>
      </c>
      <c r="C38" s="1" t="s">
        <v>96</v>
      </c>
      <c r="E38" s="1">
        <f>COUNTIFS($F$3:$F$35,C38,$E$3:$E$35,B38)</f>
        <v>0</v>
      </c>
    </row>
    <row r="39" spans="1:6" x14ac:dyDescent="0.35">
      <c r="B39" s="1" t="s">
        <v>149</v>
      </c>
      <c r="C39" s="1" t="s">
        <v>97</v>
      </c>
      <c r="E39" s="1">
        <f>COUNTIFS($F$3:$F$35,C39,$E$3:$E$35,B39)</f>
        <v>5</v>
      </c>
    </row>
    <row r="40" spans="1:6" x14ac:dyDescent="0.35">
      <c r="B40" s="1" t="s">
        <v>149</v>
      </c>
      <c r="C40" s="1" t="s">
        <v>96</v>
      </c>
      <c r="E40" s="1">
        <f>COUNTIFS($F$3:$F$35,C40,$E$3:$E$35,B40)</f>
        <v>28</v>
      </c>
    </row>
    <row r="41" spans="1:6" x14ac:dyDescent="0.35">
      <c r="E41">
        <f>SUM(E37:E40)</f>
        <v>33</v>
      </c>
    </row>
  </sheetData>
  <autoFilter ref="A2:F2" xr:uid="{B3683196-7379-4E00-A764-D76538DF758A}"/>
  <conditionalFormatting sqref="B37:B38">
    <cfRule type="expression" dxfId="179" priority="6">
      <formula>MOD(ROW(),2)=0</formula>
    </cfRule>
    <cfRule type="expression" dxfId="178" priority="7">
      <formula>MOD(ROW(),2)=0</formula>
    </cfRule>
  </conditionalFormatting>
  <conditionalFormatting sqref="B37:B40">
    <cfRule type="expression" dxfId="177" priority="3">
      <formula>MOD(ROW(),2)=0</formula>
    </cfRule>
  </conditionalFormatting>
  <conditionalFormatting sqref="B39">
    <cfRule type="expression" dxfId="176" priority="1">
      <formula>MOD(ROW(),2)=0</formula>
    </cfRule>
    <cfRule type="expression" dxfId="175" priority="2">
      <formula>MOD(ROW(),2)=0</formula>
    </cfRule>
  </conditionalFormatting>
  <conditionalFormatting sqref="B40">
    <cfRule type="expression" dxfId="174" priority="4">
      <formula>MOD(ROW(),2)=0</formula>
    </cfRule>
    <cfRule type="expression" dxfId="173" priority="5">
      <formula>MOD(ROW(),2)=0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AC46-F240-4F6B-A69A-63EDBC9F9FE0}">
  <dimension ref="A1:F35"/>
  <sheetViews>
    <sheetView workbookViewId="0">
      <selection activeCell="B29" sqref="B29"/>
    </sheetView>
  </sheetViews>
  <sheetFormatPr defaultRowHeight="14.5" x14ac:dyDescent="0.35"/>
  <cols>
    <col min="2" max="3" width="29.6328125" customWidth="1"/>
    <col min="4" max="4" width="18.453125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453</v>
      </c>
      <c r="E1" s="16" t="s">
        <v>454</v>
      </c>
    </row>
    <row r="2" spans="1:6" ht="29" x14ac:dyDescent="0.35">
      <c r="A2" s="13" t="s">
        <v>0</v>
      </c>
      <c r="B2" s="61" t="s">
        <v>102</v>
      </c>
      <c r="C2" s="62" t="s">
        <v>104</v>
      </c>
      <c r="D2" s="68" t="s">
        <v>452</v>
      </c>
      <c r="E2" s="62" t="s">
        <v>105</v>
      </c>
      <c r="F2" s="62" t="s">
        <v>106</v>
      </c>
    </row>
    <row r="3" spans="1:6" x14ac:dyDescent="0.35">
      <c r="A3" s="64">
        <v>1</v>
      </c>
      <c r="B3" s="64" t="s">
        <v>429</v>
      </c>
      <c r="C3" s="64" t="s">
        <v>91</v>
      </c>
      <c r="D3" s="64">
        <v>85740645408</v>
      </c>
      <c r="E3" s="1" t="s">
        <v>149</v>
      </c>
      <c r="F3" s="64" t="s">
        <v>96</v>
      </c>
    </row>
    <row r="4" spans="1:6" x14ac:dyDescent="0.35">
      <c r="A4" s="64">
        <v>2</v>
      </c>
      <c r="B4" s="64" t="s">
        <v>455</v>
      </c>
      <c r="C4" s="64" t="s">
        <v>91</v>
      </c>
      <c r="D4" s="64">
        <v>88896295403</v>
      </c>
      <c r="E4" s="1" t="s">
        <v>179</v>
      </c>
      <c r="F4" s="64" t="s">
        <v>96</v>
      </c>
    </row>
    <row r="5" spans="1:6" x14ac:dyDescent="0.35">
      <c r="A5" s="64">
        <v>3</v>
      </c>
      <c r="B5" s="64" t="s">
        <v>431</v>
      </c>
      <c r="C5" s="64" t="s">
        <v>432</v>
      </c>
      <c r="D5" s="64">
        <v>82145566267</v>
      </c>
      <c r="E5" s="1" t="s">
        <v>149</v>
      </c>
      <c r="F5" s="64" t="s">
        <v>96</v>
      </c>
    </row>
    <row r="6" spans="1:6" x14ac:dyDescent="0.35">
      <c r="A6" s="64">
        <v>4</v>
      </c>
      <c r="B6" s="64" t="s">
        <v>433</v>
      </c>
      <c r="C6" s="64" t="s">
        <v>91</v>
      </c>
      <c r="D6" s="64">
        <v>85602746607</v>
      </c>
      <c r="E6" s="1" t="s">
        <v>149</v>
      </c>
      <c r="F6" s="64" t="s">
        <v>96</v>
      </c>
    </row>
    <row r="7" spans="1:6" x14ac:dyDescent="0.35">
      <c r="A7" s="64">
        <v>5</v>
      </c>
      <c r="B7" s="64" t="s">
        <v>434</v>
      </c>
      <c r="C7" s="64" t="s">
        <v>456</v>
      </c>
      <c r="D7" s="64">
        <v>82230302933</v>
      </c>
      <c r="E7" s="1" t="s">
        <v>149</v>
      </c>
      <c r="F7" s="64" t="s">
        <v>96</v>
      </c>
    </row>
    <row r="8" spans="1:6" x14ac:dyDescent="0.35">
      <c r="A8" s="64">
        <v>6</v>
      </c>
      <c r="B8" s="64" t="s">
        <v>435</v>
      </c>
      <c r="C8" s="64" t="s">
        <v>191</v>
      </c>
      <c r="D8" s="64">
        <v>8123108316</v>
      </c>
      <c r="E8" s="1" t="s">
        <v>149</v>
      </c>
      <c r="F8" s="64" t="s">
        <v>96</v>
      </c>
    </row>
    <row r="9" spans="1:6" x14ac:dyDescent="0.35">
      <c r="A9" s="64">
        <v>7</v>
      </c>
      <c r="B9" s="64" t="s">
        <v>436</v>
      </c>
      <c r="C9" s="64" t="s">
        <v>437</v>
      </c>
      <c r="D9" s="64">
        <v>81022576256</v>
      </c>
      <c r="E9" s="1" t="s">
        <v>149</v>
      </c>
      <c r="F9" s="64" t="s">
        <v>96</v>
      </c>
    </row>
    <row r="10" spans="1:6" x14ac:dyDescent="0.35">
      <c r="A10" s="64">
        <v>8</v>
      </c>
      <c r="B10" s="64" t="s">
        <v>438</v>
      </c>
      <c r="C10" s="64" t="s">
        <v>437</v>
      </c>
      <c r="D10" s="64" t="s">
        <v>430</v>
      </c>
      <c r="E10" s="1" t="s">
        <v>149</v>
      </c>
      <c r="F10" s="64" t="s">
        <v>96</v>
      </c>
    </row>
    <row r="11" spans="1:6" x14ac:dyDescent="0.35">
      <c r="A11" s="64">
        <v>9</v>
      </c>
      <c r="B11" s="64" t="s">
        <v>439</v>
      </c>
      <c r="C11" s="64" t="s">
        <v>437</v>
      </c>
      <c r="D11" s="64">
        <v>8224568973</v>
      </c>
      <c r="E11" s="1" t="s">
        <v>179</v>
      </c>
      <c r="F11" s="64" t="s">
        <v>96</v>
      </c>
    </row>
    <row r="12" spans="1:6" x14ac:dyDescent="0.35">
      <c r="A12" s="64">
        <v>10</v>
      </c>
      <c r="B12" s="64" t="s">
        <v>440</v>
      </c>
      <c r="C12" s="64" t="s">
        <v>91</v>
      </c>
      <c r="D12" s="64">
        <v>81339989911</v>
      </c>
      <c r="E12" s="1" t="s">
        <v>149</v>
      </c>
      <c r="F12" s="64" t="s">
        <v>96</v>
      </c>
    </row>
    <row r="13" spans="1:6" x14ac:dyDescent="0.35">
      <c r="A13" s="64">
        <v>11</v>
      </c>
      <c r="B13" s="64" t="s">
        <v>441</v>
      </c>
      <c r="C13" s="64" t="s">
        <v>91</v>
      </c>
      <c r="D13" s="64">
        <v>85745417546</v>
      </c>
      <c r="E13" s="1" t="s">
        <v>149</v>
      </c>
      <c r="F13" s="64" t="s">
        <v>96</v>
      </c>
    </row>
    <row r="14" spans="1:6" x14ac:dyDescent="0.35">
      <c r="A14" s="64">
        <v>12</v>
      </c>
      <c r="B14" s="64" t="s">
        <v>224</v>
      </c>
      <c r="C14" s="64" t="s">
        <v>58</v>
      </c>
      <c r="D14" s="64">
        <v>85802138486</v>
      </c>
      <c r="E14" s="1" t="s">
        <v>179</v>
      </c>
      <c r="F14" s="64" t="s">
        <v>97</v>
      </c>
    </row>
    <row r="15" spans="1:6" x14ac:dyDescent="0.35">
      <c r="A15" s="64">
        <v>13</v>
      </c>
      <c r="B15" s="64" t="s">
        <v>442</v>
      </c>
      <c r="C15" s="64" t="s">
        <v>462</v>
      </c>
      <c r="D15" s="64">
        <v>82257433691</v>
      </c>
      <c r="E15" s="1" t="s">
        <v>149</v>
      </c>
      <c r="F15" s="64" t="s">
        <v>97</v>
      </c>
    </row>
    <row r="16" spans="1:6" x14ac:dyDescent="0.35">
      <c r="A16" s="64">
        <v>14</v>
      </c>
      <c r="B16" s="64" t="s">
        <v>457</v>
      </c>
      <c r="C16" s="64" t="s">
        <v>462</v>
      </c>
      <c r="D16" s="64">
        <v>81933046457</v>
      </c>
      <c r="E16" s="1" t="s">
        <v>149</v>
      </c>
      <c r="F16" s="64" t="s">
        <v>97</v>
      </c>
    </row>
    <row r="17" spans="1:6" x14ac:dyDescent="0.35">
      <c r="A17" s="64">
        <v>15</v>
      </c>
      <c r="B17" s="64" t="s">
        <v>204</v>
      </c>
      <c r="C17" s="64" t="s">
        <v>443</v>
      </c>
      <c r="D17" s="64">
        <v>82858577279</v>
      </c>
      <c r="E17" s="1" t="s">
        <v>149</v>
      </c>
      <c r="F17" s="64" t="s">
        <v>96</v>
      </c>
    </row>
    <row r="18" spans="1:6" x14ac:dyDescent="0.35">
      <c r="A18" s="64">
        <v>16</v>
      </c>
      <c r="B18" s="64" t="s">
        <v>458</v>
      </c>
      <c r="C18" s="64" t="s">
        <v>443</v>
      </c>
      <c r="D18" s="64">
        <v>85773201878</v>
      </c>
      <c r="E18" s="1" t="s">
        <v>149</v>
      </c>
      <c r="F18" s="64" t="s">
        <v>96</v>
      </c>
    </row>
    <row r="19" spans="1:6" x14ac:dyDescent="0.35">
      <c r="A19" s="64">
        <v>17</v>
      </c>
      <c r="B19" s="64" t="s">
        <v>444</v>
      </c>
      <c r="C19" s="64" t="s">
        <v>91</v>
      </c>
      <c r="D19" s="64">
        <v>81239880241</v>
      </c>
      <c r="E19" s="1" t="s">
        <v>149</v>
      </c>
      <c r="F19" s="64" t="s">
        <v>96</v>
      </c>
    </row>
    <row r="20" spans="1:6" x14ac:dyDescent="0.35">
      <c r="A20" s="64">
        <v>18</v>
      </c>
      <c r="B20" s="64" t="s">
        <v>445</v>
      </c>
      <c r="C20" s="64" t="s">
        <v>91</v>
      </c>
      <c r="D20" s="64">
        <v>81230979144</v>
      </c>
      <c r="E20" s="1" t="s">
        <v>149</v>
      </c>
      <c r="F20" s="64" t="s">
        <v>96</v>
      </c>
    </row>
    <row r="21" spans="1:6" x14ac:dyDescent="0.35">
      <c r="A21" s="64">
        <v>19</v>
      </c>
      <c r="B21" s="64" t="s">
        <v>446</v>
      </c>
      <c r="C21" s="64" t="s">
        <v>91</v>
      </c>
      <c r="D21" s="64">
        <v>85708061696</v>
      </c>
      <c r="E21" s="1" t="s">
        <v>179</v>
      </c>
      <c r="F21" s="64" t="s">
        <v>97</v>
      </c>
    </row>
    <row r="22" spans="1:6" x14ac:dyDescent="0.35">
      <c r="A22" s="64">
        <v>20</v>
      </c>
      <c r="B22" s="64" t="s">
        <v>459</v>
      </c>
      <c r="C22" s="64" t="s">
        <v>91</v>
      </c>
      <c r="D22" s="64">
        <v>87888076699</v>
      </c>
      <c r="E22" s="1" t="s">
        <v>149</v>
      </c>
      <c r="F22" s="64" t="s">
        <v>96</v>
      </c>
    </row>
    <row r="23" spans="1:6" x14ac:dyDescent="0.35">
      <c r="A23" s="64">
        <v>21</v>
      </c>
      <c r="B23" s="64" t="s">
        <v>460</v>
      </c>
      <c r="C23" s="64" t="s">
        <v>91</v>
      </c>
      <c r="D23" s="64">
        <v>81346283838</v>
      </c>
      <c r="E23" s="1" t="s">
        <v>149</v>
      </c>
      <c r="F23" s="64" t="s">
        <v>96</v>
      </c>
    </row>
    <row r="24" spans="1:6" x14ac:dyDescent="0.35">
      <c r="A24" s="64">
        <v>22</v>
      </c>
      <c r="B24" s="64" t="s">
        <v>447</v>
      </c>
      <c r="C24" s="64" t="s">
        <v>91</v>
      </c>
      <c r="D24" s="64" t="s">
        <v>430</v>
      </c>
      <c r="E24" s="1" t="s">
        <v>149</v>
      </c>
      <c r="F24" s="64" t="s">
        <v>96</v>
      </c>
    </row>
    <row r="25" spans="1:6" x14ac:dyDescent="0.35">
      <c r="A25" s="64">
        <v>23</v>
      </c>
      <c r="B25" s="64" t="s">
        <v>448</v>
      </c>
      <c r="C25" s="64" t="s">
        <v>91</v>
      </c>
      <c r="D25" s="64">
        <v>87840808652</v>
      </c>
      <c r="E25" s="1" t="s">
        <v>149</v>
      </c>
      <c r="F25" s="64" t="s">
        <v>96</v>
      </c>
    </row>
    <row r="26" spans="1:6" x14ac:dyDescent="0.35">
      <c r="A26" s="64">
        <v>24</v>
      </c>
      <c r="B26" s="64" t="s">
        <v>461</v>
      </c>
      <c r="C26" s="64" t="s">
        <v>91</v>
      </c>
      <c r="D26" s="64">
        <v>87716137574</v>
      </c>
      <c r="E26" s="1" t="s">
        <v>149</v>
      </c>
      <c r="F26" s="64" t="s">
        <v>96</v>
      </c>
    </row>
    <row r="27" spans="1:6" x14ac:dyDescent="0.35">
      <c r="A27" s="64">
        <v>25</v>
      </c>
      <c r="B27" s="64" t="s">
        <v>449</v>
      </c>
      <c r="C27" s="64" t="s">
        <v>91</v>
      </c>
      <c r="D27" s="64">
        <v>85748645412</v>
      </c>
      <c r="E27" s="1" t="s">
        <v>149</v>
      </c>
      <c r="F27" s="64" t="s">
        <v>96</v>
      </c>
    </row>
    <row r="28" spans="1:6" x14ac:dyDescent="0.35">
      <c r="A28" s="64">
        <v>26</v>
      </c>
      <c r="B28" s="64" t="s">
        <v>450</v>
      </c>
      <c r="C28" s="64" t="s">
        <v>91</v>
      </c>
      <c r="D28" s="64">
        <v>89523429420927</v>
      </c>
      <c r="E28" s="1" t="s">
        <v>149</v>
      </c>
      <c r="F28" s="64" t="s">
        <v>96</v>
      </c>
    </row>
    <row r="29" spans="1:6" x14ac:dyDescent="0.35">
      <c r="A29" s="64">
        <v>27</v>
      </c>
      <c r="B29" s="64" t="s">
        <v>451</v>
      </c>
      <c r="C29" s="64" t="s">
        <v>432</v>
      </c>
      <c r="D29" s="64">
        <v>81254097800</v>
      </c>
      <c r="E29" s="1" t="s">
        <v>149</v>
      </c>
      <c r="F29" s="64" t="s">
        <v>96</v>
      </c>
    </row>
    <row r="31" spans="1:6" x14ac:dyDescent="0.35">
      <c r="B31" s="1" t="s">
        <v>179</v>
      </c>
      <c r="C31" s="1" t="s">
        <v>97</v>
      </c>
      <c r="D31" s="1">
        <f>COUNTIFS($F$3:$F$29,C31,$E$3:$E$29,B31)-1</f>
        <v>1</v>
      </c>
    </row>
    <row r="32" spans="1:6" x14ac:dyDescent="0.35">
      <c r="B32" s="1" t="s">
        <v>179</v>
      </c>
      <c r="C32" s="1" t="s">
        <v>96</v>
      </c>
      <c r="D32" s="1">
        <f>COUNTIFS($F$3:$F$29,C32,$E$3:$E$29,B32)</f>
        <v>2</v>
      </c>
    </row>
    <row r="33" spans="2:4" x14ac:dyDescent="0.35">
      <c r="B33" s="1" t="s">
        <v>149</v>
      </c>
      <c r="C33" s="1" t="s">
        <v>97</v>
      </c>
      <c r="D33" s="1">
        <f>COUNTIFS($F$3:$F$29,C33,$E$3:$E$29,B33)</f>
        <v>2</v>
      </c>
    </row>
    <row r="34" spans="2:4" x14ac:dyDescent="0.35">
      <c r="B34" s="1" t="s">
        <v>149</v>
      </c>
      <c r="C34" s="1" t="s">
        <v>96</v>
      </c>
      <c r="D34" s="1">
        <f>COUNTIFS($F$3:$F$29,C34,$E$3:$E$29,B34)</f>
        <v>21</v>
      </c>
    </row>
    <row r="35" spans="2:4" x14ac:dyDescent="0.35">
      <c r="D35">
        <f>SUM(D31:D34)</f>
        <v>26</v>
      </c>
    </row>
  </sheetData>
  <autoFilter ref="A2:F29" xr:uid="{B3683196-7379-4E00-A764-D76538DF758A}"/>
  <conditionalFormatting sqref="B31:B32">
    <cfRule type="expression" dxfId="172" priority="6">
      <formula>MOD(ROW(),2)=0</formula>
    </cfRule>
    <cfRule type="expression" dxfId="171" priority="7">
      <formula>MOD(ROW(),2)=0</formula>
    </cfRule>
  </conditionalFormatting>
  <conditionalFormatting sqref="B31:B34">
    <cfRule type="expression" dxfId="170" priority="3">
      <formula>MOD(ROW(),2)=0</formula>
    </cfRule>
  </conditionalFormatting>
  <conditionalFormatting sqref="B33">
    <cfRule type="expression" dxfId="169" priority="1">
      <formula>MOD(ROW(),2)=0</formula>
    </cfRule>
    <cfRule type="expression" dxfId="168" priority="2">
      <formula>MOD(ROW(),2)=0</formula>
    </cfRule>
  </conditionalFormatting>
  <conditionalFormatting sqref="B34">
    <cfRule type="expression" dxfId="167" priority="4">
      <formula>MOD(ROW(),2)=0</formula>
    </cfRule>
    <cfRule type="expression" dxfId="166" priority="5">
      <formula>MOD(ROW(),2)=0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D979-9DAA-433A-961D-74DE7207E63A}">
  <dimension ref="A1:F41"/>
  <sheetViews>
    <sheetView workbookViewId="0">
      <selection activeCell="E3" sqref="E3"/>
    </sheetView>
  </sheetViews>
  <sheetFormatPr defaultRowHeight="14.5" x14ac:dyDescent="0.35"/>
  <cols>
    <col min="2" max="3" width="29.6328125" customWidth="1"/>
    <col min="4" max="4" width="18.453125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678</v>
      </c>
      <c r="E1" s="67">
        <v>46197</v>
      </c>
    </row>
    <row r="2" spans="1:6" ht="29" x14ac:dyDescent="0.35">
      <c r="A2" s="13" t="s">
        <v>0</v>
      </c>
      <c r="B2" s="61" t="s">
        <v>102</v>
      </c>
      <c r="C2" s="62" t="s">
        <v>104</v>
      </c>
      <c r="D2" s="68" t="s">
        <v>452</v>
      </c>
      <c r="E2" s="62" t="s">
        <v>105</v>
      </c>
      <c r="F2" s="62" t="s">
        <v>106</v>
      </c>
    </row>
    <row r="3" spans="1:6" x14ac:dyDescent="0.35">
      <c r="A3" s="64">
        <v>1</v>
      </c>
      <c r="B3" s="1" t="s">
        <v>641</v>
      </c>
      <c r="C3" s="1" t="s">
        <v>642</v>
      </c>
      <c r="D3" s="64"/>
      <c r="E3" s="1" t="s">
        <v>149</v>
      </c>
      <c r="F3" s="64" t="s">
        <v>97</v>
      </c>
    </row>
    <row r="4" spans="1:6" x14ac:dyDescent="0.35">
      <c r="A4" s="64">
        <v>2</v>
      </c>
      <c r="B4" s="1" t="s">
        <v>643</v>
      </c>
      <c r="C4" s="1" t="s">
        <v>644</v>
      </c>
      <c r="D4" s="64"/>
      <c r="E4" s="1" t="s">
        <v>149</v>
      </c>
      <c r="F4" s="64" t="s">
        <v>97</v>
      </c>
    </row>
    <row r="5" spans="1:6" x14ac:dyDescent="0.35">
      <c r="A5" s="64">
        <v>3</v>
      </c>
      <c r="B5" s="1" t="s">
        <v>645</v>
      </c>
      <c r="C5" s="1" t="s">
        <v>642</v>
      </c>
      <c r="D5" s="64"/>
      <c r="E5" s="1" t="s">
        <v>149</v>
      </c>
      <c r="F5" s="64" t="s">
        <v>97</v>
      </c>
    </row>
    <row r="6" spans="1:6" x14ac:dyDescent="0.35">
      <c r="A6" s="64">
        <v>4</v>
      </c>
      <c r="B6" s="1" t="s">
        <v>235</v>
      </c>
      <c r="C6" s="1" t="s">
        <v>642</v>
      </c>
      <c r="D6" s="64"/>
      <c r="E6" s="1" t="s">
        <v>149</v>
      </c>
      <c r="F6" s="64" t="s">
        <v>96</v>
      </c>
    </row>
    <row r="7" spans="1:6" x14ac:dyDescent="0.35">
      <c r="A7" s="64">
        <v>5</v>
      </c>
      <c r="B7" s="1" t="s">
        <v>646</v>
      </c>
      <c r="C7" s="1" t="s">
        <v>642</v>
      </c>
      <c r="D7" s="64"/>
      <c r="E7" s="1" t="s">
        <v>149</v>
      </c>
      <c r="F7" s="64" t="s">
        <v>97</v>
      </c>
    </row>
    <row r="8" spans="1:6" x14ac:dyDescent="0.35">
      <c r="A8" s="64">
        <v>6</v>
      </c>
      <c r="B8" s="1" t="s">
        <v>647</v>
      </c>
      <c r="C8" s="1" t="s">
        <v>648</v>
      </c>
      <c r="D8" s="64"/>
      <c r="E8" s="1" t="s">
        <v>149</v>
      </c>
      <c r="F8" s="64" t="s">
        <v>97</v>
      </c>
    </row>
    <row r="9" spans="1:6" x14ac:dyDescent="0.35">
      <c r="A9" s="64">
        <v>7</v>
      </c>
      <c r="B9" s="1" t="s">
        <v>649</v>
      </c>
      <c r="C9" s="1" t="s">
        <v>650</v>
      </c>
      <c r="D9" s="64"/>
      <c r="E9" s="1" t="s">
        <v>149</v>
      </c>
      <c r="F9" s="64" t="s">
        <v>97</v>
      </c>
    </row>
    <row r="10" spans="1:6" x14ac:dyDescent="0.35">
      <c r="A10" s="64">
        <v>8</v>
      </c>
      <c r="B10" s="1" t="s">
        <v>651</v>
      </c>
      <c r="C10" s="1" t="s">
        <v>642</v>
      </c>
      <c r="D10" s="64"/>
      <c r="E10" s="1" t="s">
        <v>149</v>
      </c>
      <c r="F10" s="64" t="s">
        <v>96</v>
      </c>
    </row>
    <row r="11" spans="1:6" x14ac:dyDescent="0.35">
      <c r="A11" s="64">
        <v>9</v>
      </c>
      <c r="B11" s="1" t="s">
        <v>652</v>
      </c>
      <c r="C11" s="1" t="s">
        <v>642</v>
      </c>
      <c r="D11" s="64"/>
      <c r="E11" s="1" t="s">
        <v>149</v>
      </c>
      <c r="F11" s="64" t="s">
        <v>96</v>
      </c>
    </row>
    <row r="12" spans="1:6" x14ac:dyDescent="0.35">
      <c r="A12" s="64">
        <v>10</v>
      </c>
      <c r="B12" s="1" t="s">
        <v>653</v>
      </c>
      <c r="C12" s="1" t="s">
        <v>654</v>
      </c>
      <c r="D12" s="64"/>
      <c r="E12" s="1" t="s">
        <v>149</v>
      </c>
      <c r="F12" s="64" t="s">
        <v>96</v>
      </c>
    </row>
    <row r="13" spans="1:6" x14ac:dyDescent="0.35">
      <c r="A13" s="64">
        <v>11</v>
      </c>
      <c r="B13" s="1" t="s">
        <v>655</v>
      </c>
      <c r="C13" s="1" t="s">
        <v>654</v>
      </c>
      <c r="D13" s="64"/>
      <c r="E13" s="1" t="s">
        <v>149</v>
      </c>
      <c r="F13" s="64" t="s">
        <v>96</v>
      </c>
    </row>
    <row r="14" spans="1:6" x14ac:dyDescent="0.35">
      <c r="A14" s="64">
        <v>12</v>
      </c>
      <c r="B14" s="1" t="s">
        <v>656</v>
      </c>
      <c r="C14" s="1" t="s">
        <v>642</v>
      </c>
      <c r="D14" s="64"/>
      <c r="E14" s="1" t="s">
        <v>149</v>
      </c>
      <c r="F14" s="64" t="s">
        <v>96</v>
      </c>
    </row>
    <row r="15" spans="1:6" x14ac:dyDescent="0.35">
      <c r="A15" s="64">
        <v>13</v>
      </c>
      <c r="B15" s="1" t="s">
        <v>657</v>
      </c>
      <c r="C15" s="1" t="s">
        <v>642</v>
      </c>
      <c r="D15" s="64"/>
      <c r="E15" s="1" t="s">
        <v>149</v>
      </c>
      <c r="F15" s="64" t="s">
        <v>96</v>
      </c>
    </row>
    <row r="16" spans="1:6" x14ac:dyDescent="0.35">
      <c r="A16" s="64">
        <v>14</v>
      </c>
      <c r="B16" s="1" t="s">
        <v>389</v>
      </c>
      <c r="C16" s="1" t="s">
        <v>648</v>
      </c>
      <c r="D16" s="64"/>
      <c r="E16" s="1" t="s">
        <v>149</v>
      </c>
      <c r="F16" s="64" t="s">
        <v>96</v>
      </c>
    </row>
    <row r="17" spans="1:6" x14ac:dyDescent="0.35">
      <c r="A17" s="64">
        <v>15</v>
      </c>
      <c r="B17" s="1" t="s">
        <v>275</v>
      </c>
      <c r="C17" s="1" t="s">
        <v>642</v>
      </c>
      <c r="D17" s="64"/>
      <c r="E17" s="1" t="s">
        <v>149</v>
      </c>
      <c r="F17" s="64" t="s">
        <v>96</v>
      </c>
    </row>
    <row r="18" spans="1:6" x14ac:dyDescent="0.35">
      <c r="A18" s="64">
        <v>16</v>
      </c>
      <c r="B18" s="1" t="s">
        <v>658</v>
      </c>
      <c r="C18" s="1" t="s">
        <v>654</v>
      </c>
      <c r="D18" s="64"/>
      <c r="E18" s="1" t="s">
        <v>149</v>
      </c>
      <c r="F18" s="64" t="s">
        <v>96</v>
      </c>
    </row>
    <row r="19" spans="1:6" x14ac:dyDescent="0.35">
      <c r="A19" s="64">
        <v>17</v>
      </c>
      <c r="B19" s="1" t="s">
        <v>659</v>
      </c>
      <c r="C19" s="1" t="s">
        <v>660</v>
      </c>
      <c r="D19" s="64"/>
      <c r="E19" s="1" t="s">
        <v>149</v>
      </c>
      <c r="F19" s="64" t="s">
        <v>96</v>
      </c>
    </row>
    <row r="20" spans="1:6" x14ac:dyDescent="0.35">
      <c r="A20" s="64">
        <v>18</v>
      </c>
      <c r="B20" s="1" t="s">
        <v>545</v>
      </c>
      <c r="C20" s="1" t="s">
        <v>661</v>
      </c>
      <c r="D20" s="64"/>
      <c r="E20" s="1" t="s">
        <v>149</v>
      </c>
      <c r="F20" s="64" t="s">
        <v>96</v>
      </c>
    </row>
    <row r="21" spans="1:6" x14ac:dyDescent="0.35">
      <c r="A21" s="64">
        <v>19</v>
      </c>
      <c r="B21" s="1" t="s">
        <v>662</v>
      </c>
      <c r="C21" s="1" t="s">
        <v>663</v>
      </c>
      <c r="D21" s="64"/>
      <c r="E21" s="1" t="s">
        <v>149</v>
      </c>
      <c r="F21" s="64" t="s">
        <v>96</v>
      </c>
    </row>
    <row r="22" spans="1:6" x14ac:dyDescent="0.35">
      <c r="A22" s="64">
        <v>20</v>
      </c>
      <c r="B22" s="1" t="s">
        <v>664</v>
      </c>
      <c r="C22" s="1" t="s">
        <v>642</v>
      </c>
      <c r="D22" s="64"/>
      <c r="E22" s="1" t="s">
        <v>149</v>
      </c>
      <c r="F22" s="64" t="s">
        <v>96</v>
      </c>
    </row>
    <row r="23" spans="1:6" x14ac:dyDescent="0.35">
      <c r="A23" s="64">
        <v>21</v>
      </c>
      <c r="B23" s="1" t="s">
        <v>665</v>
      </c>
      <c r="C23" s="1" t="s">
        <v>191</v>
      </c>
      <c r="D23" s="64"/>
      <c r="E23" s="1" t="s">
        <v>149</v>
      </c>
      <c r="F23" s="64" t="s">
        <v>96</v>
      </c>
    </row>
    <row r="24" spans="1:6" x14ac:dyDescent="0.35">
      <c r="A24" s="64">
        <v>22</v>
      </c>
      <c r="B24" s="1" t="s">
        <v>666</v>
      </c>
      <c r="C24" s="1" t="s">
        <v>667</v>
      </c>
      <c r="D24" s="64"/>
      <c r="E24" s="1" t="s">
        <v>149</v>
      </c>
      <c r="F24" s="64" t="s">
        <v>96</v>
      </c>
    </row>
    <row r="25" spans="1:6" x14ac:dyDescent="0.35">
      <c r="A25" s="64">
        <v>23</v>
      </c>
      <c r="B25" s="1" t="s">
        <v>137</v>
      </c>
      <c r="C25" s="1" t="s">
        <v>667</v>
      </c>
      <c r="D25" s="64"/>
      <c r="E25" s="1" t="s">
        <v>149</v>
      </c>
      <c r="F25" s="64" t="s">
        <v>96</v>
      </c>
    </row>
    <row r="26" spans="1:6" x14ac:dyDescent="0.35">
      <c r="A26" s="64">
        <v>24</v>
      </c>
      <c r="B26" s="1" t="s">
        <v>668</v>
      </c>
      <c r="C26" s="1" t="s">
        <v>669</v>
      </c>
      <c r="D26" s="64"/>
      <c r="E26" s="1" t="s">
        <v>149</v>
      </c>
      <c r="F26" s="64" t="s">
        <v>96</v>
      </c>
    </row>
    <row r="27" spans="1:6" x14ac:dyDescent="0.35">
      <c r="A27" s="64">
        <v>25</v>
      </c>
      <c r="B27" s="1" t="s">
        <v>670</v>
      </c>
      <c r="C27" s="1" t="s">
        <v>669</v>
      </c>
      <c r="D27" s="64"/>
      <c r="E27" s="1" t="s">
        <v>149</v>
      </c>
      <c r="F27" s="64" t="s">
        <v>96</v>
      </c>
    </row>
    <row r="28" spans="1:6" x14ac:dyDescent="0.35">
      <c r="A28" s="64">
        <v>26</v>
      </c>
      <c r="B28" s="1" t="s">
        <v>671</v>
      </c>
      <c r="C28" s="1" t="s">
        <v>191</v>
      </c>
      <c r="D28" s="64"/>
      <c r="E28" s="1" t="s">
        <v>149</v>
      </c>
      <c r="F28" s="64" t="s">
        <v>96</v>
      </c>
    </row>
    <row r="29" spans="1:6" x14ac:dyDescent="0.35">
      <c r="A29" s="64">
        <v>27</v>
      </c>
      <c r="B29" s="1" t="s">
        <v>86</v>
      </c>
      <c r="C29" s="1" t="s">
        <v>57</v>
      </c>
      <c r="D29" s="64"/>
      <c r="E29" s="1" t="s">
        <v>149</v>
      </c>
      <c r="F29" s="64" t="s">
        <v>96</v>
      </c>
    </row>
    <row r="30" spans="1:6" x14ac:dyDescent="0.35">
      <c r="A30" s="64">
        <v>28</v>
      </c>
      <c r="B30" s="1" t="s">
        <v>672</v>
      </c>
      <c r="C30" s="1" t="s">
        <v>660</v>
      </c>
      <c r="D30" s="64"/>
      <c r="E30" s="1" t="s">
        <v>149</v>
      </c>
      <c r="F30" s="64" t="s">
        <v>97</v>
      </c>
    </row>
    <row r="31" spans="1:6" x14ac:dyDescent="0.35">
      <c r="A31" s="64">
        <v>29</v>
      </c>
      <c r="B31" s="1" t="s">
        <v>673</v>
      </c>
      <c r="C31" s="1" t="s">
        <v>667</v>
      </c>
      <c r="D31" s="64"/>
      <c r="E31" s="1" t="s">
        <v>149</v>
      </c>
      <c r="F31" s="64" t="s">
        <v>97</v>
      </c>
    </row>
    <row r="32" spans="1:6" x14ac:dyDescent="0.35">
      <c r="A32" s="64">
        <v>30</v>
      </c>
      <c r="B32" s="1" t="s">
        <v>444</v>
      </c>
      <c r="C32" s="1" t="s">
        <v>674</v>
      </c>
      <c r="D32" s="64"/>
      <c r="E32" s="1" t="s">
        <v>149</v>
      </c>
      <c r="F32" s="64" t="s">
        <v>96</v>
      </c>
    </row>
    <row r="33" spans="1:6" x14ac:dyDescent="0.35">
      <c r="A33" s="64">
        <v>31</v>
      </c>
      <c r="B33" s="1" t="s">
        <v>675</v>
      </c>
      <c r="C33" s="1" t="s">
        <v>642</v>
      </c>
      <c r="D33" s="64"/>
      <c r="E33" s="1" t="s">
        <v>149</v>
      </c>
      <c r="F33" s="64" t="s">
        <v>96</v>
      </c>
    </row>
    <row r="34" spans="1:6" x14ac:dyDescent="0.35">
      <c r="A34" s="64">
        <v>32</v>
      </c>
      <c r="B34" s="1" t="s">
        <v>83</v>
      </c>
      <c r="C34" s="1" t="s">
        <v>676</v>
      </c>
      <c r="D34" s="64"/>
      <c r="E34" s="1" t="s">
        <v>149</v>
      </c>
      <c r="F34" s="64" t="s">
        <v>96</v>
      </c>
    </row>
    <row r="35" spans="1:6" x14ac:dyDescent="0.35">
      <c r="A35" s="64">
        <v>33</v>
      </c>
      <c r="B35" s="1" t="s">
        <v>677</v>
      </c>
      <c r="C35" s="1" t="s">
        <v>58</v>
      </c>
      <c r="D35" s="64"/>
      <c r="E35" s="1" t="s">
        <v>179</v>
      </c>
      <c r="F35" s="64" t="s">
        <v>97</v>
      </c>
    </row>
    <row r="37" spans="1:6" x14ac:dyDescent="0.35">
      <c r="B37" s="1" t="s">
        <v>179</v>
      </c>
      <c r="C37" s="1" t="s">
        <v>97</v>
      </c>
      <c r="D37" s="1">
        <f>COUNTIFS($F$3:$F$35,C37,$E$3:$E$35,B37)-1</f>
        <v>0</v>
      </c>
    </row>
    <row r="38" spans="1:6" x14ac:dyDescent="0.35">
      <c r="B38" s="1" t="s">
        <v>179</v>
      </c>
      <c r="C38" s="1" t="s">
        <v>96</v>
      </c>
      <c r="D38" s="1">
        <f>COUNTIFS($F$3:$F$35,C38,$E$3:$E$35,B38)</f>
        <v>0</v>
      </c>
    </row>
    <row r="39" spans="1:6" x14ac:dyDescent="0.35">
      <c r="B39" s="1" t="s">
        <v>149</v>
      </c>
      <c r="C39" s="1" t="s">
        <v>97</v>
      </c>
      <c r="D39" s="1">
        <f>COUNTIFS($F$3:$F$35,C39,$E$3:$E$35,B39)</f>
        <v>8</v>
      </c>
    </row>
    <row r="40" spans="1:6" x14ac:dyDescent="0.35">
      <c r="B40" s="1" t="s">
        <v>149</v>
      </c>
      <c r="C40" s="1" t="s">
        <v>96</v>
      </c>
      <c r="D40" s="1">
        <f>COUNTIFS($F$3:$F$35,C40,$E$3:$E$35,B40)</f>
        <v>24</v>
      </c>
    </row>
    <row r="41" spans="1:6" x14ac:dyDescent="0.35">
      <c r="D41">
        <f>SUM(D37:D40)</f>
        <v>32</v>
      </c>
    </row>
  </sheetData>
  <autoFilter ref="A2:F2" xr:uid="{B3683196-7379-4E00-A764-D76538DF758A}"/>
  <conditionalFormatting sqref="B37:B38">
    <cfRule type="expression" dxfId="165" priority="12">
      <formula>MOD(ROW(),2)=0</formula>
    </cfRule>
    <cfRule type="expression" dxfId="164" priority="13">
      <formula>MOD(ROW(),2)=0</formula>
    </cfRule>
  </conditionalFormatting>
  <conditionalFormatting sqref="B37:B40">
    <cfRule type="expression" dxfId="163" priority="9">
      <formula>MOD(ROW(),2)=0</formula>
    </cfRule>
  </conditionalFormatting>
  <conditionalFormatting sqref="B39">
    <cfRule type="expression" dxfId="162" priority="7">
      <formula>MOD(ROW(),2)=0</formula>
    </cfRule>
    <cfRule type="expression" dxfId="161" priority="8">
      <formula>MOD(ROW(),2)=0</formula>
    </cfRule>
  </conditionalFormatting>
  <conditionalFormatting sqref="B40">
    <cfRule type="expression" dxfId="160" priority="10">
      <formula>MOD(ROW(),2)=0</formula>
    </cfRule>
    <cfRule type="expression" dxfId="159" priority="11">
      <formula>MOD(ROW(),2)=0</formula>
    </cfRule>
  </conditionalFormatting>
  <conditionalFormatting sqref="E3:E34">
    <cfRule type="expression" dxfId="158" priority="5">
      <formula>MOD(ROW(),2)=0</formula>
    </cfRule>
    <cfRule type="expression" dxfId="157" priority="6">
      <formula>MOD(ROW(),2)=0</formula>
    </cfRule>
  </conditionalFormatting>
  <conditionalFormatting sqref="E3:E35">
    <cfRule type="expression" dxfId="156" priority="3">
      <formula>MOD(ROW(),2)=0</formula>
    </cfRule>
  </conditionalFormatting>
  <conditionalFormatting sqref="E35">
    <cfRule type="expression" dxfId="155" priority="1">
      <formula>MOD(ROW(),2)=0</formula>
    </cfRule>
    <cfRule type="expression" dxfId="154" priority="2">
      <formula>MOD(ROW(),2)=0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1CA8-0898-4717-A5B6-37908B1F46D3}">
  <dimension ref="A1:F42"/>
  <sheetViews>
    <sheetView topLeftCell="A25" workbookViewId="0">
      <selection activeCell="E26" sqref="E26"/>
    </sheetView>
  </sheetViews>
  <sheetFormatPr defaultRowHeight="14.5" x14ac:dyDescent="0.35"/>
  <cols>
    <col min="2" max="3" width="29.6328125" customWidth="1"/>
    <col min="4" max="4" width="18.453125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678</v>
      </c>
      <c r="E1" s="67">
        <v>46197</v>
      </c>
    </row>
    <row r="2" spans="1:6" ht="29" x14ac:dyDescent="0.35">
      <c r="A2" s="13" t="s">
        <v>0</v>
      </c>
      <c r="B2" s="61" t="s">
        <v>102</v>
      </c>
      <c r="C2" s="62" t="s">
        <v>104</v>
      </c>
      <c r="D2" s="68" t="s">
        <v>452</v>
      </c>
      <c r="E2" s="62" t="s">
        <v>105</v>
      </c>
      <c r="F2" s="62" t="s">
        <v>106</v>
      </c>
    </row>
    <row r="3" spans="1:6" x14ac:dyDescent="0.35">
      <c r="A3" s="64">
        <v>1</v>
      </c>
      <c r="B3" t="s">
        <v>703</v>
      </c>
      <c r="C3" t="s">
        <v>680</v>
      </c>
      <c r="D3" s="64"/>
      <c r="E3" s="1" t="s">
        <v>149</v>
      </c>
      <c r="F3" s="64" t="s">
        <v>96</v>
      </c>
    </row>
    <row r="4" spans="1:6" x14ac:dyDescent="0.35">
      <c r="A4" s="64">
        <v>2</v>
      </c>
      <c r="B4" t="s">
        <v>704</v>
      </c>
      <c r="C4" t="s">
        <v>681</v>
      </c>
      <c r="D4" s="64"/>
      <c r="E4" s="1" t="s">
        <v>149</v>
      </c>
      <c r="F4" s="64" t="s">
        <v>96</v>
      </c>
    </row>
    <row r="5" spans="1:6" x14ac:dyDescent="0.35">
      <c r="A5" s="64">
        <v>3</v>
      </c>
      <c r="B5" t="s">
        <v>682</v>
      </c>
      <c r="C5" t="s">
        <v>683</v>
      </c>
      <c r="D5" s="64"/>
      <c r="E5" s="1" t="s">
        <v>149</v>
      </c>
      <c r="F5" s="64" t="s">
        <v>96</v>
      </c>
    </row>
    <row r="6" spans="1:6" x14ac:dyDescent="0.35">
      <c r="A6" s="64">
        <v>4</v>
      </c>
      <c r="B6" t="s">
        <v>705</v>
      </c>
      <c r="C6" t="s">
        <v>684</v>
      </c>
      <c r="D6" s="64"/>
      <c r="E6" s="1" t="s">
        <v>149</v>
      </c>
      <c r="F6" s="64" t="s">
        <v>96</v>
      </c>
    </row>
    <row r="7" spans="1:6" x14ac:dyDescent="0.35">
      <c r="A7" s="64">
        <v>5</v>
      </c>
      <c r="B7" t="s">
        <v>685</v>
      </c>
      <c r="C7" t="s">
        <v>686</v>
      </c>
      <c r="D7" s="64"/>
      <c r="E7" s="1" t="s">
        <v>149</v>
      </c>
      <c r="F7" s="64" t="s">
        <v>96</v>
      </c>
    </row>
    <row r="8" spans="1:6" x14ac:dyDescent="0.35">
      <c r="A8" s="64">
        <v>6</v>
      </c>
      <c r="B8" t="s">
        <v>706</v>
      </c>
      <c r="C8" t="s">
        <v>686</v>
      </c>
      <c r="D8" s="64"/>
      <c r="E8" s="1" t="s">
        <v>149</v>
      </c>
      <c r="F8" s="64" t="s">
        <v>96</v>
      </c>
    </row>
    <row r="9" spans="1:6" x14ac:dyDescent="0.35">
      <c r="A9" s="64">
        <v>7</v>
      </c>
      <c r="B9" t="s">
        <v>279</v>
      </c>
      <c r="C9" t="s">
        <v>122</v>
      </c>
      <c r="D9" s="64"/>
      <c r="E9" s="1" t="s">
        <v>149</v>
      </c>
      <c r="F9" s="64" t="s">
        <v>96</v>
      </c>
    </row>
    <row r="10" spans="1:6" x14ac:dyDescent="0.35">
      <c r="A10" s="64">
        <v>8</v>
      </c>
      <c r="B10" t="s">
        <v>707</v>
      </c>
      <c r="C10" t="s">
        <v>122</v>
      </c>
      <c r="D10" s="64"/>
      <c r="E10" s="1" t="s">
        <v>149</v>
      </c>
      <c r="F10" s="64" t="s">
        <v>96</v>
      </c>
    </row>
    <row r="11" spans="1:6" x14ac:dyDescent="0.35">
      <c r="A11" s="64">
        <v>9</v>
      </c>
      <c r="B11" t="s">
        <v>687</v>
      </c>
      <c r="C11" t="s">
        <v>688</v>
      </c>
      <c r="D11" s="64"/>
      <c r="E11" s="1" t="s">
        <v>149</v>
      </c>
      <c r="F11" s="64" t="s">
        <v>96</v>
      </c>
    </row>
    <row r="12" spans="1:6" x14ac:dyDescent="0.35">
      <c r="A12" s="64">
        <v>10</v>
      </c>
      <c r="B12" t="s">
        <v>708</v>
      </c>
      <c r="C12" t="s">
        <v>689</v>
      </c>
      <c r="D12" s="64"/>
      <c r="E12" s="1" t="s">
        <v>149</v>
      </c>
      <c r="F12" s="64" t="s">
        <v>96</v>
      </c>
    </row>
    <row r="13" spans="1:6" x14ac:dyDescent="0.35">
      <c r="A13" s="64">
        <v>11</v>
      </c>
      <c r="B13" t="s">
        <v>690</v>
      </c>
      <c r="C13" t="s">
        <v>711</v>
      </c>
      <c r="D13" s="64"/>
      <c r="E13" s="1" t="s">
        <v>149</v>
      </c>
      <c r="F13" s="64" t="s">
        <v>96</v>
      </c>
    </row>
    <row r="14" spans="1:6" x14ac:dyDescent="0.35">
      <c r="A14" s="64">
        <v>12</v>
      </c>
      <c r="B14" t="s">
        <v>709</v>
      </c>
      <c r="C14" t="s">
        <v>689</v>
      </c>
      <c r="D14" s="64"/>
      <c r="E14" s="1" t="s">
        <v>149</v>
      </c>
      <c r="F14" s="64" t="s">
        <v>96</v>
      </c>
    </row>
    <row r="15" spans="1:6" x14ac:dyDescent="0.35">
      <c r="A15" s="64">
        <v>13</v>
      </c>
      <c r="B15" t="s">
        <v>233</v>
      </c>
      <c r="C15" t="s">
        <v>692</v>
      </c>
      <c r="D15" s="64"/>
      <c r="E15" s="1" t="s">
        <v>149</v>
      </c>
      <c r="F15" s="64" t="s">
        <v>96</v>
      </c>
    </row>
    <row r="16" spans="1:6" x14ac:dyDescent="0.35">
      <c r="A16" s="64">
        <v>14</v>
      </c>
      <c r="B16" t="s">
        <v>515</v>
      </c>
      <c r="C16" t="s">
        <v>692</v>
      </c>
      <c r="D16" s="64"/>
      <c r="E16" s="1" t="s">
        <v>149</v>
      </c>
      <c r="F16" s="64" t="s">
        <v>96</v>
      </c>
    </row>
    <row r="17" spans="1:6" x14ac:dyDescent="0.35">
      <c r="A17" s="64">
        <v>15</v>
      </c>
      <c r="B17" t="s">
        <v>710</v>
      </c>
      <c r="C17" t="s">
        <v>692</v>
      </c>
      <c r="D17" s="64"/>
      <c r="E17" s="1" t="s">
        <v>149</v>
      </c>
      <c r="F17" s="64" t="s">
        <v>96</v>
      </c>
    </row>
    <row r="18" spans="1:6" x14ac:dyDescent="0.35">
      <c r="A18" s="64">
        <v>16</v>
      </c>
      <c r="B18" t="s">
        <v>712</v>
      </c>
      <c r="C18" t="s">
        <v>693</v>
      </c>
      <c r="D18" s="64"/>
      <c r="E18" s="1" t="s">
        <v>149</v>
      </c>
      <c r="F18" s="64" t="s">
        <v>97</v>
      </c>
    </row>
    <row r="19" spans="1:6" x14ac:dyDescent="0.35">
      <c r="A19" s="64">
        <v>17</v>
      </c>
      <c r="B19" t="s">
        <v>608</v>
      </c>
      <c r="C19" t="s">
        <v>191</v>
      </c>
      <c r="D19" s="64"/>
      <c r="E19" s="1" t="s">
        <v>149</v>
      </c>
      <c r="F19" s="64" t="s">
        <v>97</v>
      </c>
    </row>
    <row r="20" spans="1:6" x14ac:dyDescent="0.35">
      <c r="A20" s="64">
        <v>18</v>
      </c>
      <c r="B20" t="s">
        <v>694</v>
      </c>
      <c r="C20" t="s">
        <v>191</v>
      </c>
      <c r="D20" s="64"/>
      <c r="E20" s="1" t="s">
        <v>149</v>
      </c>
      <c r="F20" s="64" t="s">
        <v>97</v>
      </c>
    </row>
    <row r="21" spans="1:6" x14ac:dyDescent="0.35">
      <c r="A21" s="64">
        <v>19</v>
      </c>
      <c r="B21" t="s">
        <v>713</v>
      </c>
      <c r="C21" t="s">
        <v>91</v>
      </c>
      <c r="D21" s="64"/>
      <c r="E21" s="1" t="s">
        <v>149</v>
      </c>
      <c r="F21" s="64" t="s">
        <v>96</v>
      </c>
    </row>
    <row r="22" spans="1:6" x14ac:dyDescent="0.35">
      <c r="A22" s="64">
        <v>20</v>
      </c>
      <c r="B22" t="s">
        <v>714</v>
      </c>
      <c r="C22" t="s">
        <v>91</v>
      </c>
      <c r="D22" s="64"/>
      <c r="E22" s="1" t="s">
        <v>149</v>
      </c>
      <c r="F22" s="64" t="s">
        <v>96</v>
      </c>
    </row>
    <row r="23" spans="1:6" x14ac:dyDescent="0.35">
      <c r="A23" s="64">
        <v>21</v>
      </c>
      <c r="B23" t="s">
        <v>715</v>
      </c>
      <c r="C23" t="s">
        <v>91</v>
      </c>
      <c r="D23" s="64"/>
      <c r="E23" s="1" t="s">
        <v>149</v>
      </c>
      <c r="F23" s="64" t="s">
        <v>97</v>
      </c>
    </row>
    <row r="24" spans="1:6" x14ac:dyDescent="0.35">
      <c r="A24" s="64">
        <v>22</v>
      </c>
      <c r="B24" t="s">
        <v>695</v>
      </c>
      <c r="C24" t="s">
        <v>91</v>
      </c>
      <c r="D24" s="64"/>
      <c r="E24" s="1" t="s">
        <v>149</v>
      </c>
      <c r="F24" s="64" t="s">
        <v>97</v>
      </c>
    </row>
    <row r="25" spans="1:6" x14ac:dyDescent="0.35">
      <c r="A25" s="64">
        <v>23</v>
      </c>
      <c r="B25" t="s">
        <v>696</v>
      </c>
      <c r="C25" t="s">
        <v>91</v>
      </c>
      <c r="D25" s="64"/>
      <c r="E25" s="1" t="s">
        <v>149</v>
      </c>
      <c r="F25" s="64" t="s">
        <v>97</v>
      </c>
    </row>
    <row r="26" spans="1:6" x14ac:dyDescent="0.35">
      <c r="A26" s="64">
        <v>24</v>
      </c>
      <c r="B26" t="s">
        <v>697</v>
      </c>
      <c r="C26" t="s">
        <v>91</v>
      </c>
      <c r="D26" s="64"/>
      <c r="E26" s="1" t="s">
        <v>149</v>
      </c>
      <c r="F26" s="64" t="s">
        <v>97</v>
      </c>
    </row>
    <row r="27" spans="1:6" x14ac:dyDescent="0.35">
      <c r="A27" s="64">
        <v>25</v>
      </c>
      <c r="B27" t="s">
        <v>698</v>
      </c>
      <c r="C27" t="s">
        <v>91</v>
      </c>
      <c r="D27" s="64"/>
      <c r="E27" s="1" t="s">
        <v>149</v>
      </c>
      <c r="F27" s="64" t="s">
        <v>97</v>
      </c>
    </row>
    <row r="28" spans="1:6" x14ac:dyDescent="0.35">
      <c r="A28" s="64">
        <v>26</v>
      </c>
      <c r="B28" t="s">
        <v>515</v>
      </c>
      <c r="C28" t="s">
        <v>91</v>
      </c>
      <c r="D28" s="64"/>
      <c r="E28" s="1" t="s">
        <v>149</v>
      </c>
      <c r="F28" s="64" t="s">
        <v>96</v>
      </c>
    </row>
    <row r="29" spans="1:6" x14ac:dyDescent="0.35">
      <c r="A29" s="64">
        <v>27</v>
      </c>
      <c r="B29" t="s">
        <v>699</v>
      </c>
      <c r="C29" t="s">
        <v>691</v>
      </c>
      <c r="D29" s="64"/>
      <c r="E29" s="1" t="s">
        <v>149</v>
      </c>
      <c r="F29" s="64" t="s">
        <v>96</v>
      </c>
    </row>
    <row r="30" spans="1:6" x14ac:dyDescent="0.35">
      <c r="A30" s="64">
        <v>28</v>
      </c>
      <c r="B30" t="s">
        <v>716</v>
      </c>
      <c r="C30" t="s">
        <v>701</v>
      </c>
      <c r="D30" s="64"/>
      <c r="E30" s="1" t="s">
        <v>149</v>
      </c>
      <c r="F30" s="64" t="s">
        <v>96</v>
      </c>
    </row>
    <row r="31" spans="1:6" x14ac:dyDescent="0.35">
      <c r="A31" s="64">
        <v>29</v>
      </c>
      <c r="B31" t="s">
        <v>700</v>
      </c>
      <c r="C31" t="s">
        <v>701</v>
      </c>
      <c r="D31" s="64"/>
      <c r="E31" s="1" t="s">
        <v>149</v>
      </c>
      <c r="F31" s="64" t="s">
        <v>96</v>
      </c>
    </row>
    <row r="32" spans="1:6" x14ac:dyDescent="0.35">
      <c r="A32" s="64">
        <v>30</v>
      </c>
      <c r="B32" t="s">
        <v>702</v>
      </c>
      <c r="C32" t="s">
        <v>701</v>
      </c>
      <c r="D32" s="64"/>
      <c r="E32" s="1" t="s">
        <v>149</v>
      </c>
      <c r="F32" s="64" t="s">
        <v>96</v>
      </c>
    </row>
    <row r="33" spans="1:6" x14ac:dyDescent="0.35">
      <c r="A33" s="64">
        <v>31</v>
      </c>
      <c r="B33" t="s">
        <v>717</v>
      </c>
      <c r="C33" t="s">
        <v>701</v>
      </c>
      <c r="D33" s="64"/>
      <c r="E33" s="1" t="s">
        <v>149</v>
      </c>
      <c r="F33" s="64" t="s">
        <v>96</v>
      </c>
    </row>
    <row r="34" spans="1:6" x14ac:dyDescent="0.35">
      <c r="A34" s="64">
        <v>32</v>
      </c>
      <c r="B34" t="s">
        <v>718</v>
      </c>
      <c r="C34" t="s">
        <v>720</v>
      </c>
      <c r="D34" s="64"/>
      <c r="E34" s="1" t="s">
        <v>149</v>
      </c>
      <c r="F34" s="64" t="s">
        <v>96</v>
      </c>
    </row>
    <row r="35" spans="1:6" x14ac:dyDescent="0.35">
      <c r="A35" s="64">
        <v>33</v>
      </c>
      <c r="B35" s="1" t="s">
        <v>719</v>
      </c>
      <c r="C35" t="s">
        <v>720</v>
      </c>
      <c r="D35" s="64"/>
      <c r="E35" s="1" t="s">
        <v>149</v>
      </c>
      <c r="F35" s="64" t="s">
        <v>96</v>
      </c>
    </row>
    <row r="36" spans="1:6" x14ac:dyDescent="0.35">
      <c r="A36" s="64">
        <v>34</v>
      </c>
      <c r="B36" s="1" t="s">
        <v>677</v>
      </c>
      <c r="C36" t="s">
        <v>58</v>
      </c>
      <c r="D36" s="64"/>
      <c r="E36" s="1" t="s">
        <v>179</v>
      </c>
      <c r="F36" s="64" t="s">
        <v>97</v>
      </c>
    </row>
    <row r="38" spans="1:6" x14ac:dyDescent="0.35">
      <c r="B38" s="1" t="s">
        <v>179</v>
      </c>
      <c r="C38" s="1" t="s">
        <v>97</v>
      </c>
      <c r="D38" s="1">
        <f>COUNTIFS($F$3:$F$36,C38,$E$3:$E$36,B38)-1</f>
        <v>0</v>
      </c>
    </row>
    <row r="39" spans="1:6" x14ac:dyDescent="0.35">
      <c r="B39" s="1" t="s">
        <v>179</v>
      </c>
      <c r="C39" s="1" t="s">
        <v>96</v>
      </c>
      <c r="D39" s="1">
        <f>COUNTIFS($F$3:$F$36,C39,$E$3:$E$36,B39)</f>
        <v>0</v>
      </c>
    </row>
    <row r="40" spans="1:6" x14ac:dyDescent="0.35">
      <c r="B40" s="1" t="s">
        <v>149</v>
      </c>
      <c r="C40" s="1" t="s">
        <v>97</v>
      </c>
      <c r="D40" s="1">
        <f>COUNTIFS($F$3:$F$36,C40,$E$3:$E$36,B40)</f>
        <v>8</v>
      </c>
    </row>
    <row r="41" spans="1:6" x14ac:dyDescent="0.35">
      <c r="B41" s="1" t="s">
        <v>149</v>
      </c>
      <c r="C41" s="1" t="s">
        <v>96</v>
      </c>
      <c r="D41" s="1">
        <f>COUNTIFS($F$3:$F$36,C41,$E$3:$E$36,B41)</f>
        <v>25</v>
      </c>
    </row>
    <row r="42" spans="1:6" x14ac:dyDescent="0.35">
      <c r="D42">
        <f>SUM(D38:D41)</f>
        <v>33</v>
      </c>
    </row>
  </sheetData>
  <autoFilter ref="A2:F2" xr:uid="{B3683196-7379-4E00-A764-D76538DF758A}"/>
  <conditionalFormatting sqref="B38:B39">
    <cfRule type="expression" dxfId="153" priority="17">
      <formula>MOD(ROW(),2)=0</formula>
    </cfRule>
    <cfRule type="expression" dxfId="152" priority="18">
      <formula>MOD(ROW(),2)=0</formula>
    </cfRule>
  </conditionalFormatting>
  <conditionalFormatting sqref="B38:B41">
    <cfRule type="expression" dxfId="151" priority="14">
      <formula>MOD(ROW(),2)=0</formula>
    </cfRule>
  </conditionalFormatting>
  <conditionalFormatting sqref="B40">
    <cfRule type="expression" dxfId="150" priority="12">
      <formula>MOD(ROW(),2)=0</formula>
    </cfRule>
    <cfRule type="expression" dxfId="149" priority="13">
      <formula>MOD(ROW(),2)=0</formula>
    </cfRule>
  </conditionalFormatting>
  <conditionalFormatting sqref="B41">
    <cfRule type="expression" dxfId="148" priority="15">
      <formula>MOD(ROW(),2)=0</formula>
    </cfRule>
    <cfRule type="expression" dxfId="147" priority="16">
      <formula>MOD(ROW(),2)=0</formula>
    </cfRule>
  </conditionalFormatting>
  <conditionalFormatting sqref="E3:E35">
    <cfRule type="expression" dxfId="146" priority="5">
      <formula>MOD(ROW(),2)=0</formula>
    </cfRule>
    <cfRule type="expression" dxfId="145" priority="6">
      <formula>MOD(ROW(),2)=0</formula>
    </cfRule>
  </conditionalFormatting>
  <conditionalFormatting sqref="E3:E36">
    <cfRule type="expression" dxfId="144" priority="3">
      <formula>MOD(ROW(),2)=0</formula>
    </cfRule>
  </conditionalFormatting>
  <conditionalFormatting sqref="E36">
    <cfRule type="expression" dxfId="143" priority="1">
      <formula>MOD(ROW(),2)=0</formula>
    </cfRule>
    <cfRule type="expression" dxfId="142" priority="2">
      <formula>MOD(ROW(),2)=0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5382-630F-4FD3-89F1-C03A1D9FD6AF}">
  <dimension ref="A1:F48"/>
  <sheetViews>
    <sheetView zoomScale="85" zoomScaleNormal="85" workbookViewId="0">
      <selection activeCell="E3" sqref="E3"/>
    </sheetView>
  </sheetViews>
  <sheetFormatPr defaultRowHeight="14.5" x14ac:dyDescent="0.35"/>
  <cols>
    <col min="2" max="3" width="29.6328125" customWidth="1"/>
    <col min="4" max="4" width="18.453125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678</v>
      </c>
      <c r="E1" s="67">
        <v>46197</v>
      </c>
    </row>
    <row r="2" spans="1:6" ht="29" x14ac:dyDescent="0.35">
      <c r="A2" s="13" t="s">
        <v>0</v>
      </c>
      <c r="B2" s="61" t="s">
        <v>102</v>
      </c>
      <c r="C2" s="62" t="s">
        <v>104</v>
      </c>
      <c r="D2" s="68" t="s">
        <v>452</v>
      </c>
      <c r="E2" s="62" t="s">
        <v>105</v>
      </c>
      <c r="F2" s="62" t="s">
        <v>106</v>
      </c>
    </row>
    <row r="3" spans="1:6" x14ac:dyDescent="0.35">
      <c r="A3" s="64">
        <v>1</v>
      </c>
      <c r="B3" t="s">
        <v>735</v>
      </c>
      <c r="C3" t="s">
        <v>186</v>
      </c>
      <c r="E3" s="1" t="s">
        <v>149</v>
      </c>
      <c r="F3" s="64" t="s">
        <v>96</v>
      </c>
    </row>
    <row r="4" spans="1:6" x14ac:dyDescent="0.35">
      <c r="A4" s="64">
        <v>2</v>
      </c>
      <c r="B4" t="s">
        <v>736</v>
      </c>
      <c r="C4" t="s">
        <v>729</v>
      </c>
      <c r="D4">
        <v>8156707218</v>
      </c>
      <c r="E4" s="1" t="s">
        <v>149</v>
      </c>
      <c r="F4" s="64" t="s">
        <v>96</v>
      </c>
    </row>
    <row r="5" spans="1:6" x14ac:dyDescent="0.35">
      <c r="A5" s="64">
        <v>3</v>
      </c>
      <c r="B5" t="s">
        <v>734</v>
      </c>
      <c r="C5" t="s">
        <v>729</v>
      </c>
      <c r="D5">
        <v>8587898981</v>
      </c>
      <c r="E5" s="1" t="s">
        <v>149</v>
      </c>
      <c r="F5" s="64" t="s">
        <v>96</v>
      </c>
    </row>
    <row r="6" spans="1:6" x14ac:dyDescent="0.35">
      <c r="A6" s="64">
        <v>4</v>
      </c>
      <c r="B6" t="s">
        <v>733</v>
      </c>
      <c r="C6" t="s">
        <v>729</v>
      </c>
      <c r="E6" s="1" t="s">
        <v>149</v>
      </c>
      <c r="F6" s="64" t="s">
        <v>96</v>
      </c>
    </row>
    <row r="7" spans="1:6" x14ac:dyDescent="0.35">
      <c r="A7" s="64">
        <v>5</v>
      </c>
      <c r="B7" t="s">
        <v>732</v>
      </c>
      <c r="C7" t="s">
        <v>729</v>
      </c>
      <c r="E7" s="1" t="s">
        <v>149</v>
      </c>
      <c r="F7" s="64" t="s">
        <v>96</v>
      </c>
    </row>
    <row r="8" spans="1:6" x14ac:dyDescent="0.35">
      <c r="A8" s="64">
        <v>6</v>
      </c>
      <c r="B8" t="s">
        <v>737</v>
      </c>
      <c r="C8" t="s">
        <v>729</v>
      </c>
      <c r="E8" s="1" t="s">
        <v>149</v>
      </c>
      <c r="F8" s="64" t="s">
        <v>96</v>
      </c>
    </row>
    <row r="9" spans="1:6" x14ac:dyDescent="0.35">
      <c r="A9" s="64">
        <v>7</v>
      </c>
      <c r="B9" t="s">
        <v>731</v>
      </c>
      <c r="C9" t="s">
        <v>729</v>
      </c>
      <c r="E9" s="1" t="s">
        <v>149</v>
      </c>
      <c r="F9" s="64" t="s">
        <v>96</v>
      </c>
    </row>
    <row r="10" spans="1:6" x14ac:dyDescent="0.35">
      <c r="A10" s="64">
        <v>8</v>
      </c>
      <c r="B10" t="s">
        <v>730</v>
      </c>
      <c r="C10" t="s">
        <v>729</v>
      </c>
      <c r="E10" s="1" t="s">
        <v>149</v>
      </c>
      <c r="F10" s="64" t="s">
        <v>96</v>
      </c>
    </row>
    <row r="11" spans="1:6" x14ac:dyDescent="0.35">
      <c r="A11" s="64">
        <v>9</v>
      </c>
      <c r="B11" t="s">
        <v>738</v>
      </c>
      <c r="C11" t="s">
        <v>729</v>
      </c>
      <c r="D11">
        <v>85926590886</v>
      </c>
      <c r="E11" s="1" t="s">
        <v>149</v>
      </c>
      <c r="F11" s="64" t="s">
        <v>96</v>
      </c>
    </row>
    <row r="12" spans="1:6" x14ac:dyDescent="0.35">
      <c r="A12" s="64">
        <v>10</v>
      </c>
      <c r="B12" t="s">
        <v>81</v>
      </c>
      <c r="C12" t="s">
        <v>729</v>
      </c>
      <c r="E12" s="1" t="s">
        <v>149</v>
      </c>
      <c r="F12" s="64" t="s">
        <v>96</v>
      </c>
    </row>
    <row r="13" spans="1:6" x14ac:dyDescent="0.35">
      <c r="A13" s="64">
        <v>11</v>
      </c>
      <c r="B13" t="s">
        <v>728</v>
      </c>
      <c r="C13" t="s">
        <v>186</v>
      </c>
      <c r="E13" s="1" t="s">
        <v>149</v>
      </c>
      <c r="F13" s="64" t="s">
        <v>96</v>
      </c>
    </row>
    <row r="14" spans="1:6" x14ac:dyDescent="0.35">
      <c r="A14" s="64">
        <v>12</v>
      </c>
      <c r="B14" t="s">
        <v>727</v>
      </c>
      <c r="C14" t="s">
        <v>186</v>
      </c>
      <c r="E14" s="1" t="s">
        <v>149</v>
      </c>
      <c r="F14" s="64" t="s">
        <v>96</v>
      </c>
    </row>
    <row r="15" spans="1:6" x14ac:dyDescent="0.35">
      <c r="A15" s="64">
        <v>13</v>
      </c>
      <c r="B15" t="s">
        <v>726</v>
      </c>
      <c r="C15" t="s">
        <v>186</v>
      </c>
      <c r="E15" s="1" t="s">
        <v>149</v>
      </c>
      <c r="F15" s="64" t="s">
        <v>96</v>
      </c>
    </row>
    <row r="16" spans="1:6" x14ac:dyDescent="0.35">
      <c r="A16" s="64">
        <v>14</v>
      </c>
      <c r="B16" t="s">
        <v>725</v>
      </c>
      <c r="C16" t="s">
        <v>186</v>
      </c>
      <c r="E16" s="1" t="s">
        <v>149</v>
      </c>
      <c r="F16" s="64" t="s">
        <v>96</v>
      </c>
    </row>
    <row r="17" spans="1:6" x14ac:dyDescent="0.35">
      <c r="A17" s="64">
        <v>15</v>
      </c>
      <c r="B17" t="s">
        <v>739</v>
      </c>
      <c r="C17" t="s">
        <v>186</v>
      </c>
      <c r="E17" s="1" t="s">
        <v>149</v>
      </c>
      <c r="F17" s="64" t="s">
        <v>96</v>
      </c>
    </row>
    <row r="18" spans="1:6" x14ac:dyDescent="0.35">
      <c r="A18" s="64">
        <v>16</v>
      </c>
      <c r="B18" t="s">
        <v>611</v>
      </c>
      <c r="C18" t="s">
        <v>722</v>
      </c>
      <c r="D18">
        <v>81807796167</v>
      </c>
      <c r="E18" s="1" t="s">
        <v>149</v>
      </c>
      <c r="F18" s="64" t="s">
        <v>97</v>
      </c>
    </row>
    <row r="19" spans="1:6" x14ac:dyDescent="0.35">
      <c r="A19" s="64">
        <v>17</v>
      </c>
      <c r="B19" t="s">
        <v>724</v>
      </c>
      <c r="C19" t="s">
        <v>722</v>
      </c>
      <c r="D19">
        <v>85725376161</v>
      </c>
      <c r="E19" s="1" t="s">
        <v>149</v>
      </c>
      <c r="F19" s="64" t="s">
        <v>96</v>
      </c>
    </row>
    <row r="20" spans="1:6" x14ac:dyDescent="0.35">
      <c r="A20" s="64">
        <v>18</v>
      </c>
      <c r="B20" t="s">
        <v>619</v>
      </c>
      <c r="C20" t="s">
        <v>722</v>
      </c>
      <c r="D20">
        <v>85725984779</v>
      </c>
      <c r="E20" s="1" t="s">
        <v>149</v>
      </c>
      <c r="F20" s="64" t="s">
        <v>96</v>
      </c>
    </row>
    <row r="21" spans="1:6" x14ac:dyDescent="0.35">
      <c r="A21" s="64">
        <v>19</v>
      </c>
      <c r="B21" t="s">
        <v>740</v>
      </c>
      <c r="C21" t="s">
        <v>723</v>
      </c>
      <c r="E21" s="1" t="s">
        <v>149</v>
      </c>
      <c r="F21" s="64" t="s">
        <v>96</v>
      </c>
    </row>
    <row r="22" spans="1:6" x14ac:dyDescent="0.35">
      <c r="A22" s="64">
        <v>20</v>
      </c>
      <c r="B22" t="s">
        <v>620</v>
      </c>
      <c r="C22" t="s">
        <v>722</v>
      </c>
      <c r="D22">
        <v>85642119229</v>
      </c>
      <c r="E22" s="1" t="s">
        <v>149</v>
      </c>
      <c r="F22" s="64" t="s">
        <v>96</v>
      </c>
    </row>
    <row r="23" spans="1:6" x14ac:dyDescent="0.35">
      <c r="A23" s="64">
        <v>21</v>
      </c>
      <c r="B23" t="s">
        <v>741</v>
      </c>
      <c r="C23" t="s">
        <v>186</v>
      </c>
      <c r="E23" s="1" t="s">
        <v>149</v>
      </c>
      <c r="F23" s="64" t="s">
        <v>96</v>
      </c>
    </row>
    <row r="24" spans="1:6" x14ac:dyDescent="0.35">
      <c r="A24" s="64">
        <v>22</v>
      </c>
      <c r="B24" t="s">
        <v>721</v>
      </c>
      <c r="C24" t="s">
        <v>186</v>
      </c>
      <c r="E24" s="1" t="s">
        <v>149</v>
      </c>
      <c r="F24" s="64" t="s">
        <v>96</v>
      </c>
    </row>
    <row r="25" spans="1:6" x14ac:dyDescent="0.35">
      <c r="A25" s="64">
        <v>23</v>
      </c>
      <c r="B25" t="s">
        <v>88</v>
      </c>
      <c r="C25" t="s">
        <v>58</v>
      </c>
      <c r="D25">
        <v>85802138480</v>
      </c>
      <c r="E25" s="1" t="s">
        <v>179</v>
      </c>
      <c r="F25" s="64" t="s">
        <v>97</v>
      </c>
    </row>
    <row r="26" spans="1:6" x14ac:dyDescent="0.35">
      <c r="A26" s="64">
        <v>24</v>
      </c>
      <c r="B26" t="s">
        <v>742</v>
      </c>
      <c r="C26" t="s">
        <v>743</v>
      </c>
      <c r="D26" s="64"/>
      <c r="E26" s="1" t="s">
        <v>149</v>
      </c>
      <c r="F26" s="64" t="s">
        <v>96</v>
      </c>
    </row>
    <row r="27" spans="1:6" x14ac:dyDescent="0.35">
      <c r="A27" s="64">
        <v>25</v>
      </c>
      <c r="B27" t="s">
        <v>744</v>
      </c>
      <c r="C27" t="s">
        <v>729</v>
      </c>
      <c r="D27" s="64"/>
      <c r="E27" s="1" t="s">
        <v>149</v>
      </c>
      <c r="F27" s="64" t="s">
        <v>96</v>
      </c>
    </row>
    <row r="28" spans="1:6" x14ac:dyDescent="0.35">
      <c r="A28" s="64">
        <v>26</v>
      </c>
      <c r="B28" t="s">
        <v>745</v>
      </c>
      <c r="C28" t="s">
        <v>743</v>
      </c>
      <c r="D28" s="64"/>
      <c r="E28" s="1" t="s">
        <v>149</v>
      </c>
      <c r="F28" s="64" t="s">
        <v>96</v>
      </c>
    </row>
    <row r="29" spans="1:6" x14ac:dyDescent="0.35">
      <c r="A29" s="64">
        <v>27</v>
      </c>
      <c r="B29" t="s">
        <v>742</v>
      </c>
      <c r="C29" t="s">
        <v>729</v>
      </c>
      <c r="D29" s="64"/>
      <c r="E29" s="1" t="s">
        <v>149</v>
      </c>
      <c r="F29" s="64" t="s">
        <v>96</v>
      </c>
    </row>
    <row r="30" spans="1:6" x14ac:dyDescent="0.35">
      <c r="A30" s="64">
        <v>28</v>
      </c>
      <c r="B30" t="s">
        <v>131</v>
      </c>
      <c r="C30" t="s">
        <v>443</v>
      </c>
      <c r="D30" s="64"/>
      <c r="E30" s="1" t="s">
        <v>149</v>
      </c>
      <c r="F30" s="64" t="s">
        <v>97</v>
      </c>
    </row>
    <row r="31" spans="1:6" x14ac:dyDescent="0.35">
      <c r="A31" s="64">
        <v>29</v>
      </c>
      <c r="B31" t="s">
        <v>746</v>
      </c>
      <c r="C31" t="s">
        <v>443</v>
      </c>
      <c r="D31" s="64"/>
      <c r="E31" s="1" t="s">
        <v>149</v>
      </c>
      <c r="F31" s="64" t="s">
        <v>97</v>
      </c>
    </row>
    <row r="32" spans="1:6" x14ac:dyDescent="0.35">
      <c r="A32" s="64">
        <v>30</v>
      </c>
      <c r="B32" t="s">
        <v>747</v>
      </c>
      <c r="C32" t="s">
        <v>443</v>
      </c>
      <c r="D32" s="64"/>
      <c r="E32" s="1" t="s">
        <v>149</v>
      </c>
      <c r="F32" s="64" t="s">
        <v>97</v>
      </c>
    </row>
    <row r="33" spans="1:6" x14ac:dyDescent="0.35">
      <c r="A33" s="64">
        <v>31</v>
      </c>
      <c r="B33" t="s">
        <v>748</v>
      </c>
      <c r="C33" t="s">
        <v>443</v>
      </c>
      <c r="D33" s="64"/>
      <c r="E33" s="1" t="s">
        <v>149</v>
      </c>
      <c r="F33" s="64" t="s">
        <v>97</v>
      </c>
    </row>
    <row r="34" spans="1:6" x14ac:dyDescent="0.35">
      <c r="A34" s="64">
        <v>32</v>
      </c>
      <c r="B34" t="s">
        <v>749</v>
      </c>
      <c r="C34" t="s">
        <v>443</v>
      </c>
      <c r="D34" s="64"/>
      <c r="E34" s="1" t="s">
        <v>149</v>
      </c>
      <c r="F34" s="64" t="s">
        <v>97</v>
      </c>
    </row>
    <row r="35" spans="1:6" x14ac:dyDescent="0.35">
      <c r="A35" s="64">
        <v>33</v>
      </c>
      <c r="B35" t="s">
        <v>750</v>
      </c>
      <c r="C35" t="s">
        <v>443</v>
      </c>
      <c r="D35" s="64"/>
      <c r="E35" s="1" t="s">
        <v>149</v>
      </c>
      <c r="F35" s="64" t="s">
        <v>96</v>
      </c>
    </row>
    <row r="36" spans="1:6" x14ac:dyDescent="0.35">
      <c r="A36" s="64">
        <v>34</v>
      </c>
      <c r="B36" t="s">
        <v>752</v>
      </c>
      <c r="C36" t="s">
        <v>729</v>
      </c>
      <c r="D36" s="64"/>
      <c r="E36" s="1" t="s">
        <v>149</v>
      </c>
      <c r="F36" s="64" t="s">
        <v>96</v>
      </c>
    </row>
    <row r="37" spans="1:6" x14ac:dyDescent="0.35">
      <c r="A37" s="64">
        <v>35</v>
      </c>
      <c r="B37" t="s">
        <v>749</v>
      </c>
      <c r="C37" t="s">
        <v>743</v>
      </c>
      <c r="D37" s="64"/>
      <c r="E37" s="1" t="s">
        <v>149</v>
      </c>
      <c r="F37" s="64" t="s">
        <v>97</v>
      </c>
    </row>
    <row r="38" spans="1:6" x14ac:dyDescent="0.35">
      <c r="A38" s="64">
        <v>36</v>
      </c>
      <c r="B38" t="s">
        <v>753</v>
      </c>
      <c r="C38" t="s">
        <v>751</v>
      </c>
      <c r="D38" s="64"/>
      <c r="E38" s="1" t="s">
        <v>149</v>
      </c>
      <c r="F38" s="64" t="s">
        <v>96</v>
      </c>
    </row>
    <row r="39" spans="1:6" x14ac:dyDescent="0.35">
      <c r="A39" s="64">
        <v>37</v>
      </c>
      <c r="B39" t="s">
        <v>754</v>
      </c>
      <c r="C39" t="s">
        <v>743</v>
      </c>
      <c r="D39" s="64"/>
      <c r="E39" s="1" t="s">
        <v>149</v>
      </c>
      <c r="F39" s="64" t="s">
        <v>96</v>
      </c>
    </row>
    <row r="40" spans="1:6" x14ac:dyDescent="0.35">
      <c r="A40" s="64">
        <v>38</v>
      </c>
      <c r="B40" t="s">
        <v>389</v>
      </c>
      <c r="C40" t="s">
        <v>743</v>
      </c>
      <c r="D40" s="64"/>
      <c r="E40" s="1" t="s">
        <v>149</v>
      </c>
      <c r="F40" s="64" t="s">
        <v>96</v>
      </c>
    </row>
    <row r="41" spans="1:6" x14ac:dyDescent="0.35">
      <c r="A41" s="64"/>
      <c r="B41" s="1"/>
      <c r="D41" s="64"/>
      <c r="E41" s="1"/>
      <c r="F41" s="64"/>
    </row>
    <row r="42" spans="1:6" x14ac:dyDescent="0.35">
      <c r="A42" s="64"/>
      <c r="B42" s="1"/>
      <c r="D42" s="64"/>
      <c r="E42" s="1"/>
      <c r="F42" s="64"/>
    </row>
    <row r="44" spans="1:6" x14ac:dyDescent="0.35">
      <c r="B44" s="1" t="s">
        <v>179</v>
      </c>
      <c r="C44" s="1" t="s">
        <v>97</v>
      </c>
      <c r="D44" s="1">
        <f>COUNTIFS($F$3:$F$42,C44,$E$3:$E$42,B44)-1</f>
        <v>0</v>
      </c>
    </row>
    <row r="45" spans="1:6" x14ac:dyDescent="0.35">
      <c r="B45" s="1" t="s">
        <v>179</v>
      </c>
      <c r="C45" s="1" t="s">
        <v>96</v>
      </c>
      <c r="D45" s="1">
        <f>COUNTIFS($F$3:$F$42,C45,$E$3:$E$42,B45)</f>
        <v>0</v>
      </c>
    </row>
    <row r="46" spans="1:6" x14ac:dyDescent="0.35">
      <c r="B46" s="1" t="s">
        <v>149</v>
      </c>
      <c r="C46" s="1" t="s">
        <v>97</v>
      </c>
      <c r="D46" s="1">
        <f>COUNTIFS($F$3:$F$42,C46,$E$3:$E$42,B46)</f>
        <v>7</v>
      </c>
    </row>
    <row r="47" spans="1:6" x14ac:dyDescent="0.35">
      <c r="B47" s="1" t="s">
        <v>149</v>
      </c>
      <c r="C47" s="1" t="s">
        <v>96</v>
      </c>
      <c r="D47" s="1">
        <f>COUNTIFS($F$3:$F$42,C47,$E$3:$E$42,B47)</f>
        <v>30</v>
      </c>
    </row>
    <row r="48" spans="1:6" x14ac:dyDescent="0.35">
      <c r="D48">
        <f>SUM(D44:D47)</f>
        <v>37</v>
      </c>
    </row>
  </sheetData>
  <autoFilter ref="A2:F40" xr:uid="{B3683196-7379-4E00-A764-D76538DF758A}"/>
  <conditionalFormatting sqref="B44:B45">
    <cfRule type="expression" dxfId="141" priority="14">
      <formula>MOD(ROW(),2)=0</formula>
    </cfRule>
    <cfRule type="expression" dxfId="140" priority="15">
      <formula>MOD(ROW(),2)=0</formula>
    </cfRule>
  </conditionalFormatting>
  <conditionalFormatting sqref="B44:B47">
    <cfRule type="expression" dxfId="139" priority="11">
      <formula>MOD(ROW(),2)=0</formula>
    </cfRule>
  </conditionalFormatting>
  <conditionalFormatting sqref="B46">
    <cfRule type="expression" dxfId="138" priority="9">
      <formula>MOD(ROW(),2)=0</formula>
    </cfRule>
    <cfRule type="expression" dxfId="137" priority="10">
      <formula>MOD(ROW(),2)=0</formula>
    </cfRule>
  </conditionalFormatting>
  <conditionalFormatting sqref="B47">
    <cfRule type="expression" dxfId="136" priority="12">
      <formula>MOD(ROW(),2)=0</formula>
    </cfRule>
    <cfRule type="expression" dxfId="135" priority="13">
      <formula>MOD(ROW(),2)=0</formula>
    </cfRule>
  </conditionalFormatting>
  <conditionalFormatting sqref="E3:E40">
    <cfRule type="expression" dxfId="134" priority="1">
      <formula>MOD(ROW(),2)=0</formula>
    </cfRule>
    <cfRule type="expression" dxfId="133" priority="2">
      <formula>MOD(ROW(),2)=0</formula>
    </cfRule>
    <cfRule type="expression" dxfId="132" priority="3">
      <formula>MOD(ROW(),2)=0</formula>
    </cfRule>
  </conditionalFormatting>
  <conditionalFormatting sqref="E41">
    <cfRule type="expression" dxfId="131" priority="7">
      <formula>MOD(ROW(),2)=0</formula>
    </cfRule>
    <cfRule type="expression" dxfId="130" priority="8">
      <formula>MOD(ROW(),2)=0</formula>
    </cfRule>
  </conditionalFormatting>
  <conditionalFormatting sqref="E41:E42">
    <cfRule type="expression" dxfId="129" priority="6">
      <formula>MOD(ROW(),2)=0</formula>
    </cfRule>
  </conditionalFormatting>
  <conditionalFormatting sqref="E42">
    <cfRule type="expression" dxfId="128" priority="4">
      <formula>MOD(ROW(),2)=0</formula>
    </cfRule>
    <cfRule type="expression" dxfId="127" priority="5">
      <formula>MOD(ROW(),2)=0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38AE-38D0-499C-BBF6-4CEDA4B402CB}">
  <dimension ref="A1:F50"/>
  <sheetViews>
    <sheetView zoomScale="85" zoomScaleNormal="85" workbookViewId="0">
      <selection activeCell="E1" sqref="E1"/>
    </sheetView>
  </sheetViews>
  <sheetFormatPr defaultRowHeight="14.5" x14ac:dyDescent="0.35"/>
  <cols>
    <col min="2" max="3" width="29.6328125" customWidth="1"/>
    <col min="4" max="4" width="18.453125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834</v>
      </c>
      <c r="E1" s="67"/>
    </row>
    <row r="2" spans="1:6" ht="29" x14ac:dyDescent="0.35">
      <c r="A2" s="13" t="s">
        <v>0</v>
      </c>
      <c r="B2" s="61" t="s">
        <v>102</v>
      </c>
      <c r="C2" s="62" t="s">
        <v>104</v>
      </c>
      <c r="D2" s="68" t="s">
        <v>452</v>
      </c>
      <c r="E2" s="62" t="s">
        <v>105</v>
      </c>
      <c r="F2" s="62" t="s">
        <v>106</v>
      </c>
    </row>
    <row r="3" spans="1:6" x14ac:dyDescent="0.35">
      <c r="A3" s="64">
        <v>1</v>
      </c>
      <c r="B3" s="1" t="s">
        <v>281</v>
      </c>
      <c r="C3" s="1" t="s">
        <v>772</v>
      </c>
      <c r="D3" s="1"/>
      <c r="E3" s="1" t="s">
        <v>149</v>
      </c>
      <c r="F3" s="64" t="s">
        <v>96</v>
      </c>
    </row>
    <row r="4" spans="1:6" x14ac:dyDescent="0.35">
      <c r="A4" s="64">
        <v>2</v>
      </c>
      <c r="B4" s="1" t="s">
        <v>773</v>
      </c>
      <c r="C4" s="1"/>
      <c r="D4" s="1"/>
      <c r="E4" s="1" t="s">
        <v>179</v>
      </c>
      <c r="F4" s="64" t="s">
        <v>96</v>
      </c>
    </row>
    <row r="5" spans="1:6" x14ac:dyDescent="0.35">
      <c r="A5" s="64">
        <v>3</v>
      </c>
      <c r="B5" s="1" t="s">
        <v>774</v>
      </c>
      <c r="C5" s="1" t="s">
        <v>89</v>
      </c>
      <c r="D5" s="1"/>
      <c r="E5" s="1" t="s">
        <v>149</v>
      </c>
      <c r="F5" s="64" t="s">
        <v>96</v>
      </c>
    </row>
    <row r="6" spans="1:6" x14ac:dyDescent="0.35">
      <c r="A6" s="64">
        <v>4</v>
      </c>
      <c r="B6" s="1" t="s">
        <v>775</v>
      </c>
      <c r="C6" s="1" t="s">
        <v>776</v>
      </c>
      <c r="D6" s="1"/>
      <c r="E6" s="1" t="s">
        <v>149</v>
      </c>
      <c r="F6" s="64" t="s">
        <v>96</v>
      </c>
    </row>
    <row r="7" spans="1:6" x14ac:dyDescent="0.35">
      <c r="A7" s="64">
        <v>5</v>
      </c>
      <c r="B7" s="1" t="s">
        <v>777</v>
      </c>
      <c r="C7" s="1" t="s">
        <v>615</v>
      </c>
      <c r="D7" s="1"/>
      <c r="E7" s="1" t="s">
        <v>149</v>
      </c>
      <c r="F7" s="64" t="s">
        <v>96</v>
      </c>
    </row>
    <row r="8" spans="1:6" x14ac:dyDescent="0.35">
      <c r="A8" s="64">
        <v>6</v>
      </c>
      <c r="B8" s="1" t="s">
        <v>778</v>
      </c>
      <c r="C8" s="1" t="s">
        <v>776</v>
      </c>
      <c r="D8" s="1"/>
      <c r="E8" s="1" t="s">
        <v>149</v>
      </c>
      <c r="F8" s="64" t="s">
        <v>97</v>
      </c>
    </row>
    <row r="9" spans="1:6" x14ac:dyDescent="0.35">
      <c r="A9" s="64">
        <v>7</v>
      </c>
      <c r="B9" s="1" t="s">
        <v>611</v>
      </c>
      <c r="C9" s="1" t="s">
        <v>722</v>
      </c>
      <c r="D9" s="1"/>
      <c r="E9" s="1" t="s">
        <v>149</v>
      </c>
      <c r="F9" s="64" t="s">
        <v>97</v>
      </c>
    </row>
    <row r="10" spans="1:6" x14ac:dyDescent="0.35">
      <c r="A10" s="64">
        <v>8</v>
      </c>
      <c r="B10" s="1" t="s">
        <v>779</v>
      </c>
      <c r="C10" s="1" t="s">
        <v>722</v>
      </c>
      <c r="D10" s="1"/>
      <c r="E10" s="1" t="s">
        <v>149</v>
      </c>
      <c r="F10" s="64" t="s">
        <v>96</v>
      </c>
    </row>
    <row r="11" spans="1:6" x14ac:dyDescent="0.35">
      <c r="A11" s="64">
        <v>9</v>
      </c>
      <c r="B11" s="1" t="s">
        <v>287</v>
      </c>
      <c r="C11" s="1" t="s">
        <v>722</v>
      </c>
      <c r="D11" s="1"/>
      <c r="E11" s="1" t="s">
        <v>149</v>
      </c>
      <c r="F11" s="64" t="s">
        <v>96</v>
      </c>
    </row>
    <row r="12" spans="1:6" x14ac:dyDescent="0.35">
      <c r="A12" s="64">
        <v>10</v>
      </c>
      <c r="B12" s="1" t="s">
        <v>286</v>
      </c>
      <c r="C12" s="1" t="s">
        <v>722</v>
      </c>
      <c r="D12" s="1"/>
      <c r="E12" s="1" t="s">
        <v>149</v>
      </c>
      <c r="F12" s="64" t="s">
        <v>96</v>
      </c>
    </row>
    <row r="13" spans="1:6" x14ac:dyDescent="0.35">
      <c r="A13" s="64">
        <v>11</v>
      </c>
      <c r="B13" s="1" t="s">
        <v>780</v>
      </c>
      <c r="C13" s="1" t="s">
        <v>776</v>
      </c>
      <c r="D13" s="1"/>
      <c r="E13" s="1" t="s">
        <v>149</v>
      </c>
      <c r="F13" s="64" t="s">
        <v>97</v>
      </c>
    </row>
    <row r="14" spans="1:6" x14ac:dyDescent="0.35">
      <c r="A14" s="64">
        <v>12</v>
      </c>
      <c r="B14" s="1" t="s">
        <v>267</v>
      </c>
      <c r="C14" s="1" t="s">
        <v>781</v>
      </c>
      <c r="D14" s="1"/>
      <c r="E14" s="1" t="s">
        <v>149</v>
      </c>
      <c r="F14" s="64" t="s">
        <v>96</v>
      </c>
    </row>
    <row r="15" spans="1:6" x14ac:dyDescent="0.35">
      <c r="A15" s="64">
        <v>13</v>
      </c>
      <c r="B15" s="1" t="s">
        <v>263</v>
      </c>
      <c r="C15" s="1" t="s">
        <v>781</v>
      </c>
      <c r="D15" s="1"/>
      <c r="E15" s="1" t="s">
        <v>149</v>
      </c>
      <c r="F15" s="64" t="s">
        <v>96</v>
      </c>
    </row>
    <row r="16" spans="1:6" x14ac:dyDescent="0.35">
      <c r="A16" s="64">
        <v>14</v>
      </c>
      <c r="B16" s="1" t="s">
        <v>782</v>
      </c>
      <c r="C16" s="1" t="s">
        <v>781</v>
      </c>
      <c r="D16" s="1"/>
      <c r="E16" s="1" t="s">
        <v>149</v>
      </c>
      <c r="F16" s="64" t="s">
        <v>96</v>
      </c>
    </row>
    <row r="17" spans="1:6" x14ac:dyDescent="0.35">
      <c r="A17" s="64">
        <v>15</v>
      </c>
      <c r="B17" s="1" t="s">
        <v>168</v>
      </c>
      <c r="C17" s="1" t="s">
        <v>781</v>
      </c>
      <c r="D17" s="1"/>
      <c r="E17" s="1" t="s">
        <v>149</v>
      </c>
      <c r="F17" s="64" t="s">
        <v>96</v>
      </c>
    </row>
    <row r="18" spans="1:6" x14ac:dyDescent="0.35">
      <c r="A18" s="64">
        <v>16</v>
      </c>
      <c r="B18" s="1" t="s">
        <v>783</v>
      </c>
      <c r="C18" s="1" t="s">
        <v>781</v>
      </c>
      <c r="D18" s="1"/>
      <c r="E18" s="1" t="s">
        <v>149</v>
      </c>
      <c r="F18" s="64" t="s">
        <v>96</v>
      </c>
    </row>
    <row r="19" spans="1:6" x14ac:dyDescent="0.35">
      <c r="A19" s="64">
        <v>17</v>
      </c>
      <c r="B19" s="1" t="s">
        <v>784</v>
      </c>
      <c r="C19" s="1" t="s">
        <v>781</v>
      </c>
      <c r="D19" s="1"/>
      <c r="E19" s="1" t="s">
        <v>149</v>
      </c>
      <c r="F19" s="64" t="s">
        <v>96</v>
      </c>
    </row>
    <row r="20" spans="1:6" x14ac:dyDescent="0.35">
      <c r="A20" s="64">
        <v>18</v>
      </c>
      <c r="B20" s="1" t="s">
        <v>282</v>
      </c>
      <c r="C20" s="1" t="s">
        <v>781</v>
      </c>
      <c r="D20" s="1"/>
      <c r="E20" s="1" t="s">
        <v>149</v>
      </c>
      <c r="F20" s="64" t="s">
        <v>96</v>
      </c>
    </row>
    <row r="21" spans="1:6" x14ac:dyDescent="0.35">
      <c r="A21" s="64">
        <v>19</v>
      </c>
      <c r="B21" s="1" t="s">
        <v>785</v>
      </c>
      <c r="C21" s="1" t="s">
        <v>260</v>
      </c>
      <c r="D21" s="1"/>
      <c r="E21" s="1" t="s">
        <v>149</v>
      </c>
      <c r="F21" s="64" t="s">
        <v>96</v>
      </c>
    </row>
    <row r="22" spans="1:6" x14ac:dyDescent="0.35">
      <c r="A22" s="64">
        <v>20</v>
      </c>
      <c r="B22" s="1" t="s">
        <v>603</v>
      </c>
      <c r="C22" s="1" t="s">
        <v>260</v>
      </c>
      <c r="D22" s="1"/>
      <c r="E22" s="1" t="s">
        <v>149</v>
      </c>
      <c r="F22" s="64" t="s">
        <v>97</v>
      </c>
    </row>
    <row r="23" spans="1:6" x14ac:dyDescent="0.35">
      <c r="A23" s="64">
        <v>21</v>
      </c>
      <c r="B23" s="1" t="s">
        <v>261</v>
      </c>
      <c r="C23" s="1" t="s">
        <v>260</v>
      </c>
      <c r="D23" s="1"/>
      <c r="E23" s="1" t="s">
        <v>149</v>
      </c>
      <c r="F23" s="64" t="s">
        <v>96</v>
      </c>
    </row>
    <row r="24" spans="1:6" x14ac:dyDescent="0.35">
      <c r="A24" s="64">
        <v>22</v>
      </c>
      <c r="B24" s="1" t="s">
        <v>276</v>
      </c>
      <c r="C24" s="1" t="s">
        <v>260</v>
      </c>
      <c r="D24" s="1"/>
      <c r="E24" s="1" t="s">
        <v>149</v>
      </c>
      <c r="F24" s="64" t="s">
        <v>96</v>
      </c>
    </row>
    <row r="25" spans="1:6" x14ac:dyDescent="0.35">
      <c r="A25" s="64">
        <v>23</v>
      </c>
      <c r="B25" s="1" t="s">
        <v>275</v>
      </c>
      <c r="C25" s="1" t="s">
        <v>260</v>
      </c>
      <c r="D25" s="1"/>
      <c r="E25" s="1" t="s">
        <v>149</v>
      </c>
      <c r="F25" s="64" t="s">
        <v>96</v>
      </c>
    </row>
    <row r="26" spans="1:6" x14ac:dyDescent="0.35">
      <c r="A26" s="64">
        <v>24</v>
      </c>
      <c r="B26" s="1" t="s">
        <v>265</v>
      </c>
      <c r="C26" s="1" t="s">
        <v>260</v>
      </c>
      <c r="D26" s="64"/>
      <c r="E26" s="1" t="s">
        <v>149</v>
      </c>
      <c r="F26" s="64" t="s">
        <v>96</v>
      </c>
    </row>
    <row r="27" spans="1:6" x14ac:dyDescent="0.35">
      <c r="A27" s="64">
        <v>25</v>
      </c>
      <c r="B27" s="1" t="s">
        <v>605</v>
      </c>
      <c r="C27" s="1" t="s">
        <v>260</v>
      </c>
      <c r="D27" s="64"/>
      <c r="E27" s="1" t="s">
        <v>149</v>
      </c>
      <c r="F27" s="64" t="s">
        <v>96</v>
      </c>
    </row>
    <row r="28" spans="1:6" x14ac:dyDescent="0.35">
      <c r="A28" s="64">
        <v>26</v>
      </c>
      <c r="B28" s="1" t="s">
        <v>253</v>
      </c>
      <c r="C28" s="1" t="s">
        <v>260</v>
      </c>
      <c r="D28" s="64"/>
      <c r="E28" s="1" t="s">
        <v>149</v>
      </c>
      <c r="F28" s="64" t="s">
        <v>96</v>
      </c>
    </row>
    <row r="29" spans="1:6" x14ac:dyDescent="0.35">
      <c r="A29" s="64">
        <v>27</v>
      </c>
      <c r="B29" s="1" t="s">
        <v>786</v>
      </c>
      <c r="C29" s="1" t="s">
        <v>89</v>
      </c>
      <c r="D29" s="64">
        <v>81329999127</v>
      </c>
      <c r="E29" s="1" t="s">
        <v>149</v>
      </c>
      <c r="F29" s="64" t="s">
        <v>97</v>
      </c>
    </row>
    <row r="30" spans="1:6" x14ac:dyDescent="0.35">
      <c r="A30" s="64">
        <v>28</v>
      </c>
      <c r="B30" s="1" t="s">
        <v>787</v>
      </c>
      <c r="C30" s="1" t="s">
        <v>89</v>
      </c>
      <c r="D30" s="64">
        <v>87884089984</v>
      </c>
      <c r="E30" s="1" t="s">
        <v>149</v>
      </c>
      <c r="F30" s="64" t="s">
        <v>97</v>
      </c>
    </row>
    <row r="31" spans="1:6" x14ac:dyDescent="0.35">
      <c r="A31" s="64">
        <v>29</v>
      </c>
      <c r="B31" s="1" t="s">
        <v>788</v>
      </c>
      <c r="C31" s="1" t="s">
        <v>89</v>
      </c>
      <c r="D31" s="64">
        <v>81233264425</v>
      </c>
      <c r="E31" s="1" t="s">
        <v>149</v>
      </c>
      <c r="F31" s="64" t="s">
        <v>97</v>
      </c>
    </row>
    <row r="32" spans="1:6" x14ac:dyDescent="0.35">
      <c r="A32" s="64">
        <v>30</v>
      </c>
      <c r="B32" s="1" t="s">
        <v>789</v>
      </c>
      <c r="C32" s="1" t="s">
        <v>89</v>
      </c>
      <c r="D32" s="64">
        <v>81226845492</v>
      </c>
      <c r="E32" s="1" t="s">
        <v>149</v>
      </c>
      <c r="F32" s="64" t="s">
        <v>97</v>
      </c>
    </row>
    <row r="33" spans="1:6" x14ac:dyDescent="0.35">
      <c r="A33" s="64">
        <v>31</v>
      </c>
      <c r="B33" s="1" t="s">
        <v>142</v>
      </c>
      <c r="C33" s="1" t="s">
        <v>89</v>
      </c>
      <c r="D33" s="64">
        <v>85640519448</v>
      </c>
      <c r="E33" s="1" t="s">
        <v>149</v>
      </c>
      <c r="F33" s="64" t="s">
        <v>96</v>
      </c>
    </row>
    <row r="34" spans="1:6" x14ac:dyDescent="0.35">
      <c r="A34" s="64">
        <v>32</v>
      </c>
      <c r="B34" s="1" t="s">
        <v>137</v>
      </c>
      <c r="C34" s="1" t="s">
        <v>89</v>
      </c>
      <c r="D34" s="64"/>
      <c r="E34" s="1" t="s">
        <v>149</v>
      </c>
      <c r="F34" s="64" t="s">
        <v>96</v>
      </c>
    </row>
    <row r="35" spans="1:6" x14ac:dyDescent="0.35">
      <c r="A35" s="64">
        <v>33</v>
      </c>
      <c r="B35" s="1" t="s">
        <v>790</v>
      </c>
      <c r="C35" s="1" t="s">
        <v>89</v>
      </c>
      <c r="D35" s="64"/>
      <c r="E35" s="1" t="s">
        <v>149</v>
      </c>
      <c r="F35" s="64" t="s">
        <v>96</v>
      </c>
    </row>
    <row r="36" spans="1:6" x14ac:dyDescent="0.35">
      <c r="A36" s="64">
        <v>34</v>
      </c>
      <c r="B36" s="1" t="s">
        <v>791</v>
      </c>
      <c r="C36" s="1" t="s">
        <v>89</v>
      </c>
      <c r="D36" s="64"/>
      <c r="E36" s="1" t="s">
        <v>149</v>
      </c>
      <c r="F36" s="64" t="s">
        <v>96</v>
      </c>
    </row>
    <row r="37" spans="1:6" x14ac:dyDescent="0.35">
      <c r="A37" s="64">
        <v>35</v>
      </c>
      <c r="B37" s="1" t="s">
        <v>236</v>
      </c>
      <c r="C37" s="1" t="s">
        <v>260</v>
      </c>
      <c r="D37" s="64"/>
      <c r="E37" s="1" t="s">
        <v>149</v>
      </c>
      <c r="F37" s="64" t="s">
        <v>96</v>
      </c>
    </row>
    <row r="38" spans="1:6" x14ac:dyDescent="0.35">
      <c r="A38" s="64">
        <v>36</v>
      </c>
      <c r="B38" s="1" t="s">
        <v>792</v>
      </c>
      <c r="C38" s="1" t="s">
        <v>260</v>
      </c>
      <c r="D38" s="64">
        <v>8127777691</v>
      </c>
      <c r="E38" s="1" t="s">
        <v>149</v>
      </c>
      <c r="F38" s="64" t="s">
        <v>96</v>
      </c>
    </row>
    <row r="39" spans="1:6" x14ac:dyDescent="0.35">
      <c r="A39" s="64">
        <v>37</v>
      </c>
      <c r="B39" s="1" t="s">
        <v>793</v>
      </c>
      <c r="C39" s="1" t="s">
        <v>260</v>
      </c>
      <c r="D39" s="64"/>
      <c r="E39" s="1" t="s">
        <v>149</v>
      </c>
      <c r="F39" s="64" t="s">
        <v>96</v>
      </c>
    </row>
    <row r="40" spans="1:6" x14ac:dyDescent="0.35">
      <c r="A40" s="64">
        <v>38</v>
      </c>
      <c r="B40" s="1" t="s">
        <v>794</v>
      </c>
      <c r="C40" s="1" t="s">
        <v>260</v>
      </c>
      <c r="D40" s="64">
        <v>82340012113</v>
      </c>
      <c r="E40" s="1" t="s">
        <v>149</v>
      </c>
      <c r="F40" s="64" t="s">
        <v>96</v>
      </c>
    </row>
    <row r="41" spans="1:6" x14ac:dyDescent="0.35">
      <c r="A41" s="64">
        <v>39</v>
      </c>
      <c r="B41" s="1" t="s">
        <v>289</v>
      </c>
      <c r="C41" s="1" t="s">
        <v>795</v>
      </c>
      <c r="D41" s="64"/>
      <c r="E41" s="1" t="s">
        <v>149</v>
      </c>
      <c r="F41" s="64" t="s">
        <v>96</v>
      </c>
    </row>
    <row r="42" spans="1:6" x14ac:dyDescent="0.35">
      <c r="A42" s="64">
        <v>40</v>
      </c>
      <c r="B42" s="1" t="s">
        <v>796</v>
      </c>
      <c r="C42" s="1" t="s">
        <v>797</v>
      </c>
      <c r="D42" s="64">
        <v>81548355871</v>
      </c>
      <c r="E42" s="1" t="s">
        <v>149</v>
      </c>
      <c r="F42" s="64" t="s">
        <v>96</v>
      </c>
    </row>
    <row r="43" spans="1:6" x14ac:dyDescent="0.35">
      <c r="A43" s="64">
        <v>41</v>
      </c>
      <c r="B43" s="1" t="s">
        <v>306</v>
      </c>
      <c r="C43" s="1" t="s">
        <v>798</v>
      </c>
      <c r="D43" s="1"/>
      <c r="E43" s="1" t="s">
        <v>149</v>
      </c>
      <c r="F43" s="64" t="s">
        <v>96</v>
      </c>
    </row>
    <row r="44" spans="1:6" x14ac:dyDescent="0.35">
      <c r="E44" s="120"/>
      <c r="F44" s="121"/>
    </row>
    <row r="45" spans="1:6" x14ac:dyDescent="0.35">
      <c r="E45" s="1"/>
      <c r="F45" s="64"/>
    </row>
    <row r="46" spans="1:6" x14ac:dyDescent="0.35">
      <c r="B46" s="1" t="s">
        <v>179</v>
      </c>
      <c r="C46" s="1" t="s">
        <v>97</v>
      </c>
      <c r="D46" s="1">
        <f>COUNTIFS($F$3:$F$43,C46,$E$3:$E$43,B46)</f>
        <v>0</v>
      </c>
      <c r="E46" s="1" t="s">
        <v>149</v>
      </c>
      <c r="F46" s="64"/>
    </row>
    <row r="47" spans="1:6" x14ac:dyDescent="0.35">
      <c r="B47" s="1" t="s">
        <v>179</v>
      </c>
      <c r="C47" s="1" t="s">
        <v>96</v>
      </c>
      <c r="D47" s="1">
        <f>COUNTIFS($F$3:$F$43,C47,$E$3:$E$43,B47)</f>
        <v>1</v>
      </c>
      <c r="E47" s="1" t="s">
        <v>149</v>
      </c>
      <c r="F47" s="64"/>
    </row>
    <row r="48" spans="1:6" x14ac:dyDescent="0.35">
      <c r="B48" s="1" t="s">
        <v>149</v>
      </c>
      <c r="C48" s="1" t="s">
        <v>97</v>
      </c>
      <c r="D48" s="1">
        <f>COUNTIFS($F$3:$F$43,C48,$E$3:$E$43,B48)</f>
        <v>8</v>
      </c>
      <c r="E48" s="1" t="s">
        <v>149</v>
      </c>
      <c r="F48" s="64"/>
    </row>
    <row r="49" spans="2:6" x14ac:dyDescent="0.35">
      <c r="B49" s="1" t="s">
        <v>149</v>
      </c>
      <c r="C49" s="1" t="s">
        <v>96</v>
      </c>
      <c r="D49" s="1">
        <f>COUNTIFS($F$3:$F$43,C49,$E$3:$E$43,B49)</f>
        <v>32</v>
      </c>
      <c r="E49" s="1" t="s">
        <v>149</v>
      </c>
      <c r="F49" s="64"/>
    </row>
    <row r="50" spans="2:6" x14ac:dyDescent="0.35">
      <c r="D50">
        <f>SUM(D46:D49)</f>
        <v>41</v>
      </c>
    </row>
  </sheetData>
  <autoFilter ref="A2:F40" xr:uid="{B3683196-7379-4E00-A764-D76538DF758A}"/>
  <conditionalFormatting sqref="B46:B47">
    <cfRule type="expression" dxfId="126" priority="17">
      <formula>MOD(ROW(),2)=0</formula>
    </cfRule>
    <cfRule type="expression" dxfId="125" priority="18">
      <formula>MOD(ROW(),2)=0</formula>
    </cfRule>
  </conditionalFormatting>
  <conditionalFormatting sqref="B46:B49">
    <cfRule type="expression" dxfId="124" priority="14">
      <formula>MOD(ROW(),2)=0</formula>
    </cfRule>
  </conditionalFormatting>
  <conditionalFormatting sqref="B48">
    <cfRule type="expression" dxfId="123" priority="12">
      <formula>MOD(ROW(),2)=0</formula>
    </cfRule>
    <cfRule type="expression" dxfId="122" priority="13">
      <formula>MOD(ROW(),2)=0</formula>
    </cfRule>
  </conditionalFormatting>
  <conditionalFormatting sqref="B49">
    <cfRule type="expression" dxfId="121" priority="15">
      <formula>MOD(ROW(),2)=0</formula>
    </cfRule>
    <cfRule type="expression" dxfId="120" priority="16">
      <formula>MOD(ROW(),2)=0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ED21-D035-4E9B-B818-566B073DC8C4}">
  <dimension ref="A1:F41"/>
  <sheetViews>
    <sheetView zoomScale="85" zoomScaleNormal="85" workbookViewId="0">
      <selection activeCell="A35" sqref="A35:XFD43"/>
    </sheetView>
  </sheetViews>
  <sheetFormatPr defaultRowHeight="14.5" x14ac:dyDescent="0.35"/>
  <cols>
    <col min="2" max="3" width="29.6328125" customWidth="1"/>
    <col min="4" max="4" width="18.453125" customWidth="1"/>
    <col min="5" max="5" width="16.81640625" customWidth="1"/>
    <col min="6" max="6" width="11.7265625" customWidth="1"/>
  </cols>
  <sheetData>
    <row r="1" spans="1:6" s="16" customFormat="1" x14ac:dyDescent="0.35">
      <c r="A1" s="16" t="s">
        <v>835</v>
      </c>
      <c r="E1" s="67">
        <v>46197</v>
      </c>
    </row>
    <row r="2" spans="1:6" ht="29" x14ac:dyDescent="0.35">
      <c r="A2" s="13" t="s">
        <v>0</v>
      </c>
      <c r="B2" s="61" t="s">
        <v>102</v>
      </c>
      <c r="C2" s="62" t="s">
        <v>104</v>
      </c>
      <c r="D2" s="68" t="s">
        <v>452</v>
      </c>
      <c r="E2" s="62" t="s">
        <v>105</v>
      </c>
      <c r="F2" s="62" t="s">
        <v>106</v>
      </c>
    </row>
    <row r="3" spans="1:6" x14ac:dyDescent="0.35">
      <c r="A3" s="64">
        <v>1</v>
      </c>
      <c r="B3" s="64" t="s">
        <v>799</v>
      </c>
      <c r="C3" s="64" t="s">
        <v>800</v>
      </c>
      <c r="D3" s="64">
        <v>83845628805</v>
      </c>
      <c r="E3" s="1" t="s">
        <v>149</v>
      </c>
      <c r="F3" s="64" t="s">
        <v>96</v>
      </c>
    </row>
    <row r="4" spans="1:6" x14ac:dyDescent="0.35">
      <c r="A4" s="64">
        <v>2</v>
      </c>
      <c r="B4" s="64" t="s">
        <v>801</v>
      </c>
      <c r="C4" s="64" t="s">
        <v>800</v>
      </c>
      <c r="D4" s="64"/>
      <c r="E4" s="1" t="s">
        <v>149</v>
      </c>
      <c r="F4" s="64" t="s">
        <v>96</v>
      </c>
    </row>
    <row r="5" spans="1:6" x14ac:dyDescent="0.35">
      <c r="A5" s="64">
        <v>3</v>
      </c>
      <c r="B5" s="64" t="s">
        <v>267</v>
      </c>
      <c r="C5" s="64" t="s">
        <v>802</v>
      </c>
      <c r="D5" s="64">
        <v>81220343407</v>
      </c>
      <c r="E5" s="1" t="s">
        <v>149</v>
      </c>
      <c r="F5" s="64" t="s">
        <v>96</v>
      </c>
    </row>
    <row r="6" spans="1:6" x14ac:dyDescent="0.35">
      <c r="A6" s="64">
        <v>4</v>
      </c>
      <c r="B6" s="64" t="s">
        <v>377</v>
      </c>
      <c r="C6" s="64" t="s">
        <v>800</v>
      </c>
      <c r="D6" s="64">
        <v>81252146528</v>
      </c>
      <c r="E6" s="1" t="s">
        <v>149</v>
      </c>
      <c r="F6" s="64" t="s">
        <v>96</v>
      </c>
    </row>
    <row r="7" spans="1:6" x14ac:dyDescent="0.35">
      <c r="A7" s="64">
        <v>5</v>
      </c>
      <c r="B7" s="64" t="s">
        <v>803</v>
      </c>
      <c r="C7" s="64" t="s">
        <v>804</v>
      </c>
      <c r="D7" s="64">
        <v>81341611421</v>
      </c>
      <c r="E7" s="1" t="s">
        <v>149</v>
      </c>
      <c r="F7" s="64" t="s">
        <v>97</v>
      </c>
    </row>
    <row r="8" spans="1:6" x14ac:dyDescent="0.35">
      <c r="A8" s="64">
        <v>6</v>
      </c>
      <c r="B8" s="64" t="s">
        <v>805</v>
      </c>
      <c r="C8" s="64" t="s">
        <v>804</v>
      </c>
      <c r="D8" s="64">
        <v>81335097396</v>
      </c>
      <c r="E8" s="1" t="s">
        <v>149</v>
      </c>
      <c r="F8" s="64" t="s">
        <v>97</v>
      </c>
    </row>
    <row r="9" spans="1:6" x14ac:dyDescent="0.35">
      <c r="A9" s="64">
        <v>7</v>
      </c>
      <c r="B9" s="64" t="s">
        <v>806</v>
      </c>
      <c r="C9" s="64" t="s">
        <v>807</v>
      </c>
      <c r="D9" s="64">
        <v>85330381102</v>
      </c>
      <c r="E9" s="1" t="s">
        <v>149</v>
      </c>
      <c r="F9" s="64" t="s">
        <v>97</v>
      </c>
    </row>
    <row r="10" spans="1:6" x14ac:dyDescent="0.35">
      <c r="A10" s="64">
        <v>8</v>
      </c>
      <c r="B10" s="64" t="s">
        <v>808</v>
      </c>
      <c r="C10" s="64" t="s">
        <v>809</v>
      </c>
      <c r="D10" s="64"/>
      <c r="E10" s="1" t="s">
        <v>149</v>
      </c>
      <c r="F10" s="64" t="s">
        <v>97</v>
      </c>
    </row>
    <row r="11" spans="1:6" x14ac:dyDescent="0.35">
      <c r="A11" s="64">
        <v>9</v>
      </c>
      <c r="B11" s="64" t="s">
        <v>810</v>
      </c>
      <c r="C11" s="64" t="s">
        <v>809</v>
      </c>
      <c r="D11" s="64"/>
      <c r="E11" s="1" t="s">
        <v>149</v>
      </c>
      <c r="F11" s="64" t="s">
        <v>97</v>
      </c>
    </row>
    <row r="12" spans="1:6" x14ac:dyDescent="0.35">
      <c r="A12" s="64">
        <v>10</v>
      </c>
      <c r="B12" s="64" t="s">
        <v>811</v>
      </c>
      <c r="C12" s="64" t="s">
        <v>807</v>
      </c>
      <c r="D12" s="64"/>
      <c r="E12" s="1" t="s">
        <v>149</v>
      </c>
      <c r="F12" s="64" t="s">
        <v>97</v>
      </c>
    </row>
    <row r="13" spans="1:6" x14ac:dyDescent="0.35">
      <c r="A13" s="64">
        <v>11</v>
      </c>
      <c r="B13" s="64" t="s">
        <v>200</v>
      </c>
      <c r="C13" s="64" t="s">
        <v>89</v>
      </c>
      <c r="D13" s="64"/>
      <c r="E13" s="1" t="s">
        <v>149</v>
      </c>
      <c r="F13" s="64" t="s">
        <v>97</v>
      </c>
    </row>
    <row r="14" spans="1:6" x14ac:dyDescent="0.35">
      <c r="A14" s="64">
        <v>12</v>
      </c>
      <c r="B14" s="64" t="s">
        <v>812</v>
      </c>
      <c r="C14" s="64" t="s">
        <v>813</v>
      </c>
      <c r="D14" s="64">
        <v>87858857949</v>
      </c>
      <c r="E14" s="1" t="s">
        <v>149</v>
      </c>
      <c r="F14" s="64" t="s">
        <v>96</v>
      </c>
    </row>
    <row r="15" spans="1:6" x14ac:dyDescent="0.35">
      <c r="A15" s="64">
        <v>13</v>
      </c>
      <c r="B15" s="64" t="s">
        <v>814</v>
      </c>
      <c r="C15" s="64" t="s">
        <v>813</v>
      </c>
      <c r="D15" s="64"/>
      <c r="E15" s="1" t="s">
        <v>149</v>
      </c>
      <c r="F15" s="64" t="s">
        <v>96</v>
      </c>
    </row>
    <row r="16" spans="1:6" x14ac:dyDescent="0.35">
      <c r="A16" s="64">
        <v>14</v>
      </c>
      <c r="B16" s="64" t="s">
        <v>815</v>
      </c>
      <c r="C16" s="64" t="s">
        <v>813</v>
      </c>
      <c r="D16" s="64"/>
      <c r="E16" s="1" t="s">
        <v>149</v>
      </c>
      <c r="F16" s="64" t="s">
        <v>96</v>
      </c>
    </row>
    <row r="17" spans="1:6" x14ac:dyDescent="0.35">
      <c r="A17" s="64">
        <v>15</v>
      </c>
      <c r="B17" s="64" t="s">
        <v>816</v>
      </c>
      <c r="C17" s="64" t="s">
        <v>89</v>
      </c>
      <c r="D17" s="64">
        <v>81335481094</v>
      </c>
      <c r="E17" s="1" t="s">
        <v>149</v>
      </c>
      <c r="F17" s="64" t="s">
        <v>96</v>
      </c>
    </row>
    <row r="18" spans="1:6" x14ac:dyDescent="0.35">
      <c r="A18" s="64">
        <v>16</v>
      </c>
      <c r="B18" s="64" t="s">
        <v>817</v>
      </c>
      <c r="C18" s="64" t="s">
        <v>800</v>
      </c>
      <c r="D18" s="64">
        <v>82259864121</v>
      </c>
      <c r="E18" s="1" t="s">
        <v>149</v>
      </c>
      <c r="F18" s="64" t="s">
        <v>96</v>
      </c>
    </row>
    <row r="19" spans="1:6" x14ac:dyDescent="0.35">
      <c r="A19" s="64">
        <v>17</v>
      </c>
      <c r="B19" s="64" t="s">
        <v>818</v>
      </c>
      <c r="C19" s="64" t="s">
        <v>819</v>
      </c>
      <c r="D19" s="64">
        <v>81230573372</v>
      </c>
      <c r="E19" s="1" t="s">
        <v>149</v>
      </c>
      <c r="F19" s="64" t="s">
        <v>96</v>
      </c>
    </row>
    <row r="20" spans="1:6" x14ac:dyDescent="0.35">
      <c r="A20" s="64">
        <v>18</v>
      </c>
      <c r="B20" s="64" t="s">
        <v>820</v>
      </c>
      <c r="C20" s="64" t="s">
        <v>800</v>
      </c>
      <c r="D20" s="64">
        <v>8125952707</v>
      </c>
      <c r="E20" s="1" t="s">
        <v>149</v>
      </c>
      <c r="F20" s="64" t="s">
        <v>96</v>
      </c>
    </row>
    <row r="21" spans="1:6" x14ac:dyDescent="0.35">
      <c r="A21" s="64">
        <v>19</v>
      </c>
      <c r="B21" s="64" t="s">
        <v>821</v>
      </c>
      <c r="C21" s="64" t="s">
        <v>800</v>
      </c>
      <c r="D21" s="64">
        <v>813575615764</v>
      </c>
      <c r="E21" s="1" t="s">
        <v>149</v>
      </c>
      <c r="F21" s="64" t="s">
        <v>96</v>
      </c>
    </row>
    <row r="22" spans="1:6" x14ac:dyDescent="0.35">
      <c r="A22" s="64">
        <v>20</v>
      </c>
      <c r="B22" s="64" t="s">
        <v>306</v>
      </c>
      <c r="C22" s="64" t="s">
        <v>800</v>
      </c>
      <c r="D22" s="64">
        <v>81334609799</v>
      </c>
      <c r="E22" s="1" t="s">
        <v>149</v>
      </c>
      <c r="F22" s="64" t="s">
        <v>96</v>
      </c>
    </row>
    <row r="23" spans="1:6" x14ac:dyDescent="0.35">
      <c r="A23" s="64">
        <v>21</v>
      </c>
      <c r="B23" s="64" t="s">
        <v>822</v>
      </c>
      <c r="C23" s="64" t="s">
        <v>800</v>
      </c>
      <c r="D23" s="64"/>
      <c r="E23" s="1" t="s">
        <v>149</v>
      </c>
      <c r="F23" s="64" t="s">
        <v>96</v>
      </c>
    </row>
    <row r="24" spans="1:6" x14ac:dyDescent="0.35">
      <c r="A24" s="64">
        <v>22</v>
      </c>
      <c r="B24" s="64" t="s">
        <v>823</v>
      </c>
      <c r="C24" s="64" t="s">
        <v>800</v>
      </c>
      <c r="D24" s="64"/>
      <c r="E24" s="1" t="s">
        <v>149</v>
      </c>
      <c r="F24" s="64" t="s">
        <v>96</v>
      </c>
    </row>
    <row r="25" spans="1:6" x14ac:dyDescent="0.35">
      <c r="A25" s="64">
        <v>23</v>
      </c>
      <c r="B25" s="64" t="s">
        <v>824</v>
      </c>
      <c r="C25" s="64" t="s">
        <v>800</v>
      </c>
      <c r="D25" s="64"/>
      <c r="E25" s="1" t="s">
        <v>149</v>
      </c>
      <c r="F25" s="64" t="s">
        <v>96</v>
      </c>
    </row>
    <row r="26" spans="1:6" x14ac:dyDescent="0.35">
      <c r="A26" s="64">
        <v>24</v>
      </c>
      <c r="B26" s="64" t="s">
        <v>825</v>
      </c>
      <c r="C26" s="64" t="s">
        <v>800</v>
      </c>
      <c r="D26" s="64"/>
      <c r="E26" s="1" t="s">
        <v>149</v>
      </c>
      <c r="F26" s="64" t="s">
        <v>96</v>
      </c>
    </row>
    <row r="27" spans="1:6" x14ac:dyDescent="0.35">
      <c r="A27" s="64">
        <v>25</v>
      </c>
      <c r="B27" s="64" t="s">
        <v>244</v>
      </c>
      <c r="C27" s="64" t="s">
        <v>544</v>
      </c>
      <c r="D27" s="64"/>
      <c r="E27" s="1" t="s">
        <v>149</v>
      </c>
      <c r="F27" s="64" t="s">
        <v>96</v>
      </c>
    </row>
    <row r="28" spans="1:6" x14ac:dyDescent="0.35">
      <c r="A28" s="64">
        <v>26</v>
      </c>
      <c r="B28" s="64" t="s">
        <v>826</v>
      </c>
      <c r="C28" s="64" t="s">
        <v>800</v>
      </c>
      <c r="D28" s="64"/>
      <c r="E28" s="1" t="s">
        <v>149</v>
      </c>
      <c r="F28" s="64" t="s">
        <v>96</v>
      </c>
    </row>
    <row r="29" spans="1:6" x14ac:dyDescent="0.35">
      <c r="A29" s="64">
        <v>27</v>
      </c>
      <c r="B29" s="64" t="s">
        <v>827</v>
      </c>
      <c r="C29" s="64" t="s">
        <v>800</v>
      </c>
      <c r="D29" s="64"/>
      <c r="E29" s="1" t="s">
        <v>149</v>
      </c>
      <c r="F29" s="64" t="s">
        <v>96</v>
      </c>
    </row>
    <row r="30" spans="1:6" x14ac:dyDescent="0.35">
      <c r="A30" s="64">
        <v>28</v>
      </c>
      <c r="B30" s="64" t="s">
        <v>828</v>
      </c>
      <c r="C30" s="64" t="s">
        <v>809</v>
      </c>
      <c r="D30" s="64"/>
      <c r="E30" s="1" t="s">
        <v>149</v>
      </c>
      <c r="F30" s="64" t="s">
        <v>96</v>
      </c>
    </row>
    <row r="31" spans="1:6" x14ac:dyDescent="0.35">
      <c r="A31" s="64">
        <v>29</v>
      </c>
      <c r="B31" s="64" t="s">
        <v>829</v>
      </c>
      <c r="C31" s="64" t="s">
        <v>809</v>
      </c>
      <c r="D31" s="64">
        <v>81357357289</v>
      </c>
      <c r="E31" s="1" t="s">
        <v>149</v>
      </c>
      <c r="F31" s="64" t="s">
        <v>96</v>
      </c>
    </row>
    <row r="32" spans="1:6" x14ac:dyDescent="0.35">
      <c r="A32" s="64">
        <v>30</v>
      </c>
      <c r="B32" s="64" t="s">
        <v>830</v>
      </c>
      <c r="C32" s="64" t="s">
        <v>809</v>
      </c>
      <c r="D32" s="64"/>
      <c r="E32" s="1" t="s">
        <v>149</v>
      </c>
      <c r="F32" s="64" t="s">
        <v>96</v>
      </c>
    </row>
    <row r="33" spans="1:6" x14ac:dyDescent="0.35">
      <c r="A33" s="64">
        <v>31</v>
      </c>
      <c r="B33" s="64" t="s">
        <v>831</v>
      </c>
      <c r="C33" s="64" t="s">
        <v>800</v>
      </c>
      <c r="D33" s="64">
        <v>82244050359</v>
      </c>
      <c r="E33" s="1" t="s">
        <v>149</v>
      </c>
      <c r="F33" s="64" t="s">
        <v>96</v>
      </c>
    </row>
    <row r="34" spans="1:6" x14ac:dyDescent="0.35">
      <c r="A34" s="64">
        <v>32</v>
      </c>
      <c r="B34" s="64" t="s">
        <v>832</v>
      </c>
      <c r="C34" s="64" t="s">
        <v>191</v>
      </c>
      <c r="D34" s="64">
        <v>82143090283</v>
      </c>
      <c r="E34" s="1" t="s">
        <v>149</v>
      </c>
      <c r="F34" s="64" t="s">
        <v>96</v>
      </c>
    </row>
    <row r="35" spans="1:6" x14ac:dyDescent="0.35">
      <c r="E35" s="120"/>
      <c r="F35" s="121"/>
    </row>
    <row r="36" spans="1:6" x14ac:dyDescent="0.35">
      <c r="E36" s="1"/>
      <c r="F36" s="64"/>
    </row>
    <row r="37" spans="1:6" x14ac:dyDescent="0.35">
      <c r="B37" s="1" t="s">
        <v>179</v>
      </c>
      <c r="C37" s="1" t="s">
        <v>97</v>
      </c>
      <c r="D37" s="1">
        <f>COUNTIFS($F$3:$F$34,C37,$E$3:$E$34,B37)</f>
        <v>0</v>
      </c>
      <c r="E37" s="1" t="s">
        <v>149</v>
      </c>
      <c r="F37" s="64"/>
    </row>
    <row r="38" spans="1:6" x14ac:dyDescent="0.35">
      <c r="B38" s="1" t="s">
        <v>179</v>
      </c>
      <c r="C38" s="1" t="s">
        <v>96</v>
      </c>
      <c r="D38" s="1">
        <f>COUNTIFS($F$3:$F$34,C38,$E$3:$E$34,B38)</f>
        <v>0</v>
      </c>
      <c r="E38" s="1" t="s">
        <v>149</v>
      </c>
      <c r="F38" s="64"/>
    </row>
    <row r="39" spans="1:6" x14ac:dyDescent="0.35">
      <c r="B39" s="1" t="s">
        <v>149</v>
      </c>
      <c r="C39" s="1" t="s">
        <v>97</v>
      </c>
      <c r="D39" s="1">
        <f>COUNTIFS($F$3:$F$34,C39,$E$3:$E$34,B39)</f>
        <v>7</v>
      </c>
      <c r="E39" s="1" t="s">
        <v>149</v>
      </c>
      <c r="F39" s="64"/>
    </row>
    <row r="40" spans="1:6" x14ac:dyDescent="0.35">
      <c r="B40" s="1" t="s">
        <v>149</v>
      </c>
      <c r="C40" s="1" t="s">
        <v>96</v>
      </c>
      <c r="D40" s="1">
        <f>COUNTIFS($F$3:$F$34,C40,$E$3:$E$34,B40)</f>
        <v>25</v>
      </c>
      <c r="E40" s="1" t="s">
        <v>149</v>
      </c>
      <c r="F40" s="64"/>
    </row>
    <row r="41" spans="1:6" x14ac:dyDescent="0.35">
      <c r="D41">
        <f>SUM(D37:D40)</f>
        <v>32</v>
      </c>
    </row>
  </sheetData>
  <autoFilter ref="A2:F34" xr:uid="{B3683196-7379-4E00-A764-D76538DF758A}"/>
  <conditionalFormatting sqref="B37:B38">
    <cfRule type="expression" dxfId="119" priority="15">
      <formula>MOD(ROW(),2)=0</formula>
    </cfRule>
    <cfRule type="expression" dxfId="118" priority="16">
      <formula>MOD(ROW(),2)=0</formula>
    </cfRule>
  </conditionalFormatting>
  <conditionalFormatting sqref="B37:B40">
    <cfRule type="expression" dxfId="117" priority="12">
      <formula>MOD(ROW(),2)=0</formula>
    </cfRule>
  </conditionalFormatting>
  <conditionalFormatting sqref="B39">
    <cfRule type="expression" dxfId="116" priority="10">
      <formula>MOD(ROW(),2)=0</formula>
    </cfRule>
    <cfRule type="expression" dxfId="115" priority="11">
      <formula>MOD(ROW(),2)=0</formula>
    </cfRule>
  </conditionalFormatting>
  <conditionalFormatting sqref="B40">
    <cfRule type="expression" dxfId="114" priority="13">
      <formula>MOD(ROW(),2)=0</formula>
    </cfRule>
    <cfRule type="expression" dxfId="113" priority="14">
      <formula>MOD(ROW(),2)=0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C255-B5CC-4038-B9EB-BAC22CD115AA}">
  <dimension ref="A1:E221"/>
  <sheetViews>
    <sheetView tabSelected="1" workbookViewId="0">
      <selection activeCell="L7" sqref="L7"/>
    </sheetView>
  </sheetViews>
  <sheetFormatPr defaultRowHeight="14.5" x14ac:dyDescent="0.35"/>
  <cols>
    <col min="1" max="1" width="5.26953125" customWidth="1"/>
    <col min="2" max="2" width="13.36328125" bestFit="1" customWidth="1"/>
    <col min="3" max="3" width="17.7265625" customWidth="1"/>
    <col min="4" max="4" width="11" bestFit="1" customWidth="1"/>
    <col min="5" max="5" width="12.26953125" bestFit="1" customWidth="1"/>
  </cols>
  <sheetData>
    <row r="1" spans="1:5" x14ac:dyDescent="0.35">
      <c r="A1" t="s">
        <v>0</v>
      </c>
      <c r="B1" t="s">
        <v>984</v>
      </c>
      <c r="C1" t="s">
        <v>103</v>
      </c>
      <c r="D1" t="s">
        <v>402</v>
      </c>
      <c r="E1" t="s">
        <v>596</v>
      </c>
    </row>
    <row r="2" spans="1:5" x14ac:dyDescent="0.35">
      <c r="A2">
        <v>1</v>
      </c>
      <c r="B2" t="s">
        <v>882</v>
      </c>
      <c r="C2" t="s">
        <v>850</v>
      </c>
      <c r="D2" t="s">
        <v>851</v>
      </c>
      <c r="E2" t="s">
        <v>701</v>
      </c>
    </row>
    <row r="3" spans="1:5" x14ac:dyDescent="0.35">
      <c r="A3">
        <v>2</v>
      </c>
      <c r="B3" t="s">
        <v>852</v>
      </c>
      <c r="C3" t="s">
        <v>850</v>
      </c>
      <c r="D3" t="s">
        <v>851</v>
      </c>
      <c r="E3" t="s">
        <v>701</v>
      </c>
    </row>
    <row r="4" spans="1:5" x14ac:dyDescent="0.35">
      <c r="A4">
        <v>3</v>
      </c>
      <c r="B4" t="s">
        <v>883</v>
      </c>
      <c r="C4" t="s">
        <v>850</v>
      </c>
      <c r="D4" t="s">
        <v>851</v>
      </c>
      <c r="E4" t="s">
        <v>701</v>
      </c>
    </row>
    <row r="5" spans="1:5" x14ac:dyDescent="0.35">
      <c r="A5">
        <v>4</v>
      </c>
      <c r="B5" t="s">
        <v>884</v>
      </c>
      <c r="C5" t="s">
        <v>850</v>
      </c>
      <c r="D5" t="s">
        <v>851</v>
      </c>
      <c r="E5" t="s">
        <v>701</v>
      </c>
    </row>
    <row r="6" spans="1:5" x14ac:dyDescent="0.35">
      <c r="A6">
        <v>5</v>
      </c>
      <c r="B6" t="s">
        <v>885</v>
      </c>
      <c r="C6" t="s">
        <v>850</v>
      </c>
      <c r="D6" t="s">
        <v>851</v>
      </c>
      <c r="E6" t="s">
        <v>701</v>
      </c>
    </row>
    <row r="7" spans="1:5" x14ac:dyDescent="0.35">
      <c r="A7">
        <v>6</v>
      </c>
      <c r="B7" t="s">
        <v>886</v>
      </c>
      <c r="C7" t="s">
        <v>850</v>
      </c>
      <c r="D7" t="s">
        <v>851</v>
      </c>
      <c r="E7" t="s">
        <v>701</v>
      </c>
    </row>
    <row r="8" spans="1:5" x14ac:dyDescent="0.35">
      <c r="A8">
        <v>7</v>
      </c>
      <c r="B8" t="s">
        <v>887</v>
      </c>
      <c r="C8" t="s">
        <v>850</v>
      </c>
      <c r="D8" t="s">
        <v>851</v>
      </c>
      <c r="E8" t="s">
        <v>701</v>
      </c>
    </row>
    <row r="9" spans="1:5" x14ac:dyDescent="0.35">
      <c r="A9">
        <v>8</v>
      </c>
      <c r="B9" t="s">
        <v>888</v>
      </c>
      <c r="C9" t="s">
        <v>850</v>
      </c>
      <c r="D9" t="s">
        <v>851</v>
      </c>
      <c r="E9" t="s">
        <v>701</v>
      </c>
    </row>
    <row r="10" spans="1:5" x14ac:dyDescent="0.35">
      <c r="A10">
        <v>9</v>
      </c>
      <c r="B10" t="s">
        <v>889</v>
      </c>
      <c r="C10" t="s">
        <v>850</v>
      </c>
      <c r="D10" t="s">
        <v>851</v>
      </c>
      <c r="E10" t="s">
        <v>701</v>
      </c>
    </row>
    <row r="11" spans="1:5" x14ac:dyDescent="0.35">
      <c r="A11">
        <v>10</v>
      </c>
      <c r="B11" t="s">
        <v>890</v>
      </c>
      <c r="C11" t="s">
        <v>850</v>
      </c>
      <c r="D11" t="s">
        <v>851</v>
      </c>
      <c r="E11" t="s">
        <v>701</v>
      </c>
    </row>
    <row r="12" spans="1:5" x14ac:dyDescent="0.35">
      <c r="A12">
        <v>11</v>
      </c>
      <c r="B12" t="s">
        <v>891</v>
      </c>
      <c r="C12" t="s">
        <v>850</v>
      </c>
      <c r="D12" t="s">
        <v>851</v>
      </c>
      <c r="E12" t="s">
        <v>701</v>
      </c>
    </row>
    <row r="13" spans="1:5" x14ac:dyDescent="0.35">
      <c r="A13">
        <v>12</v>
      </c>
      <c r="B13" t="s">
        <v>634</v>
      </c>
      <c r="C13" t="s">
        <v>850</v>
      </c>
      <c r="D13" t="s">
        <v>851</v>
      </c>
      <c r="E13" t="s">
        <v>701</v>
      </c>
    </row>
    <row r="14" spans="1:5" x14ac:dyDescent="0.35">
      <c r="A14">
        <v>13</v>
      </c>
      <c r="B14" t="s">
        <v>892</v>
      </c>
      <c r="C14" t="s">
        <v>850</v>
      </c>
      <c r="D14" t="s">
        <v>851</v>
      </c>
      <c r="E14" t="s">
        <v>701</v>
      </c>
    </row>
    <row r="15" spans="1:5" x14ac:dyDescent="0.35">
      <c r="A15">
        <v>14</v>
      </c>
      <c r="B15" t="s">
        <v>893</v>
      </c>
      <c r="C15" t="s">
        <v>850</v>
      </c>
      <c r="D15" t="s">
        <v>851</v>
      </c>
      <c r="E15" t="s">
        <v>701</v>
      </c>
    </row>
    <row r="16" spans="1:5" x14ac:dyDescent="0.35">
      <c r="A16">
        <v>15</v>
      </c>
      <c r="B16" t="s">
        <v>894</v>
      </c>
      <c r="C16" t="s">
        <v>850</v>
      </c>
      <c r="D16" t="s">
        <v>851</v>
      </c>
      <c r="E16" t="s">
        <v>701</v>
      </c>
    </row>
    <row r="17" spans="1:5" x14ac:dyDescent="0.35">
      <c r="A17">
        <v>16</v>
      </c>
      <c r="B17" t="s">
        <v>895</v>
      </c>
      <c r="C17" t="s">
        <v>850</v>
      </c>
      <c r="D17" t="s">
        <v>851</v>
      </c>
      <c r="E17" t="s">
        <v>701</v>
      </c>
    </row>
    <row r="18" spans="1:5" x14ac:dyDescent="0.35">
      <c r="A18">
        <v>17</v>
      </c>
      <c r="B18" t="s">
        <v>896</v>
      </c>
      <c r="C18" t="s">
        <v>850</v>
      </c>
      <c r="D18" t="s">
        <v>851</v>
      </c>
      <c r="E18" t="s">
        <v>701</v>
      </c>
    </row>
    <row r="19" spans="1:5" x14ac:dyDescent="0.35">
      <c r="A19">
        <v>18</v>
      </c>
      <c r="B19" t="s">
        <v>506</v>
      </c>
      <c r="C19" t="s">
        <v>850</v>
      </c>
      <c r="D19" t="s">
        <v>851</v>
      </c>
      <c r="E19" t="s">
        <v>701</v>
      </c>
    </row>
    <row r="20" spans="1:5" x14ac:dyDescent="0.35">
      <c r="A20">
        <v>19</v>
      </c>
      <c r="B20" t="s">
        <v>897</v>
      </c>
      <c r="C20" t="s">
        <v>850</v>
      </c>
      <c r="D20" t="s">
        <v>851</v>
      </c>
      <c r="E20" t="s">
        <v>701</v>
      </c>
    </row>
    <row r="21" spans="1:5" x14ac:dyDescent="0.35">
      <c r="A21">
        <v>20</v>
      </c>
      <c r="B21" t="s">
        <v>898</v>
      </c>
      <c r="C21" t="s">
        <v>850</v>
      </c>
      <c r="D21" t="s">
        <v>851</v>
      </c>
      <c r="E21" t="s">
        <v>701</v>
      </c>
    </row>
    <row r="22" spans="1:5" x14ac:dyDescent="0.35">
      <c r="A22">
        <v>21</v>
      </c>
      <c r="B22" t="s">
        <v>899</v>
      </c>
      <c r="C22" t="s">
        <v>850</v>
      </c>
      <c r="D22" t="s">
        <v>851</v>
      </c>
      <c r="E22" t="s">
        <v>701</v>
      </c>
    </row>
    <row r="23" spans="1:5" x14ac:dyDescent="0.35">
      <c r="A23">
        <v>22</v>
      </c>
      <c r="B23" t="s">
        <v>789</v>
      </c>
      <c r="C23" t="s">
        <v>850</v>
      </c>
      <c r="D23" t="s">
        <v>851</v>
      </c>
      <c r="E23" t="s">
        <v>701</v>
      </c>
    </row>
    <row r="24" spans="1:5" x14ac:dyDescent="0.35">
      <c r="A24">
        <v>23</v>
      </c>
      <c r="B24" t="s">
        <v>900</v>
      </c>
      <c r="C24" t="s">
        <v>850</v>
      </c>
      <c r="D24" t="s">
        <v>851</v>
      </c>
      <c r="E24" t="s">
        <v>701</v>
      </c>
    </row>
    <row r="25" spans="1:5" x14ac:dyDescent="0.35">
      <c r="A25">
        <v>24</v>
      </c>
      <c r="B25" t="s">
        <v>748</v>
      </c>
      <c r="C25" t="s">
        <v>850</v>
      </c>
      <c r="D25" t="s">
        <v>851</v>
      </c>
      <c r="E25" t="s">
        <v>701</v>
      </c>
    </row>
    <row r="26" spans="1:5" x14ac:dyDescent="0.35">
      <c r="A26">
        <v>25</v>
      </c>
      <c r="B26" t="s">
        <v>236</v>
      </c>
      <c r="C26" t="s">
        <v>850</v>
      </c>
      <c r="D26" t="s">
        <v>851</v>
      </c>
      <c r="E26" t="s">
        <v>701</v>
      </c>
    </row>
    <row r="27" spans="1:5" x14ac:dyDescent="0.35">
      <c r="A27">
        <v>26</v>
      </c>
      <c r="B27" t="s">
        <v>901</v>
      </c>
      <c r="C27" t="s">
        <v>850</v>
      </c>
      <c r="D27" t="s">
        <v>851</v>
      </c>
      <c r="E27" t="s">
        <v>701</v>
      </c>
    </row>
    <row r="28" spans="1:5" x14ac:dyDescent="0.35">
      <c r="A28">
        <v>27</v>
      </c>
      <c r="B28" t="s">
        <v>902</v>
      </c>
      <c r="C28" t="s">
        <v>850</v>
      </c>
      <c r="D28" t="s">
        <v>851</v>
      </c>
      <c r="E28" t="s">
        <v>701</v>
      </c>
    </row>
    <row r="29" spans="1:5" x14ac:dyDescent="0.35">
      <c r="A29">
        <v>28</v>
      </c>
      <c r="B29" t="s">
        <v>903</v>
      </c>
      <c r="C29" t="s">
        <v>850</v>
      </c>
      <c r="D29" t="s">
        <v>851</v>
      </c>
      <c r="E29" t="s">
        <v>701</v>
      </c>
    </row>
    <row r="30" spans="1:5" x14ac:dyDescent="0.35">
      <c r="A30">
        <v>29</v>
      </c>
      <c r="B30" t="s">
        <v>904</v>
      </c>
      <c r="C30" t="s">
        <v>850</v>
      </c>
      <c r="D30" t="s">
        <v>851</v>
      </c>
      <c r="E30" t="s">
        <v>701</v>
      </c>
    </row>
    <row r="31" spans="1:5" x14ac:dyDescent="0.35">
      <c r="A31">
        <v>30</v>
      </c>
      <c r="B31" t="s">
        <v>905</v>
      </c>
      <c r="C31" t="s">
        <v>850</v>
      </c>
      <c r="D31" t="s">
        <v>851</v>
      </c>
      <c r="E31" t="s">
        <v>701</v>
      </c>
    </row>
    <row r="32" spans="1:5" x14ac:dyDescent="0.35">
      <c r="A32">
        <v>31</v>
      </c>
      <c r="B32" t="s">
        <v>906</v>
      </c>
      <c r="C32" t="s">
        <v>850</v>
      </c>
      <c r="D32" t="s">
        <v>851</v>
      </c>
      <c r="E32" t="s">
        <v>701</v>
      </c>
    </row>
    <row r="33" spans="1:5" x14ac:dyDescent="0.35">
      <c r="A33">
        <v>32</v>
      </c>
      <c r="B33" t="s">
        <v>907</v>
      </c>
      <c r="C33" t="s">
        <v>850</v>
      </c>
      <c r="D33" t="s">
        <v>851</v>
      </c>
      <c r="E33" t="s">
        <v>701</v>
      </c>
    </row>
    <row r="34" spans="1:5" x14ac:dyDescent="0.35">
      <c r="A34">
        <v>33</v>
      </c>
      <c r="B34" t="s">
        <v>908</v>
      </c>
      <c r="C34" t="s">
        <v>850</v>
      </c>
      <c r="D34" t="s">
        <v>851</v>
      </c>
      <c r="E34" t="s">
        <v>701</v>
      </c>
    </row>
    <row r="35" spans="1:5" x14ac:dyDescent="0.35">
      <c r="A35">
        <v>34</v>
      </c>
      <c r="B35" t="s">
        <v>909</v>
      </c>
      <c r="C35" t="s">
        <v>850</v>
      </c>
      <c r="D35" t="s">
        <v>851</v>
      </c>
      <c r="E35" t="s">
        <v>701</v>
      </c>
    </row>
    <row r="36" spans="1:5" x14ac:dyDescent="0.35">
      <c r="A36">
        <v>35</v>
      </c>
      <c r="B36" t="s">
        <v>910</v>
      </c>
      <c r="C36" t="s">
        <v>850</v>
      </c>
      <c r="D36" t="s">
        <v>851</v>
      </c>
      <c r="E36" t="s">
        <v>701</v>
      </c>
    </row>
    <row r="37" spans="1:5" x14ac:dyDescent="0.35">
      <c r="A37">
        <v>36</v>
      </c>
      <c r="B37" t="s">
        <v>911</v>
      </c>
      <c r="C37" t="s">
        <v>850</v>
      </c>
      <c r="D37" t="s">
        <v>851</v>
      </c>
      <c r="E37" t="s">
        <v>701</v>
      </c>
    </row>
    <row r="38" spans="1:5" x14ac:dyDescent="0.35">
      <c r="A38">
        <v>37</v>
      </c>
      <c r="B38" t="s">
        <v>912</v>
      </c>
      <c r="C38" t="s">
        <v>850</v>
      </c>
      <c r="D38" t="s">
        <v>851</v>
      </c>
      <c r="E38" t="s">
        <v>701</v>
      </c>
    </row>
    <row r="39" spans="1:5" x14ac:dyDescent="0.35">
      <c r="A39">
        <v>38</v>
      </c>
      <c r="B39" t="s">
        <v>347</v>
      </c>
      <c r="C39" t="s">
        <v>850</v>
      </c>
      <c r="D39" t="s">
        <v>851</v>
      </c>
      <c r="E39" t="s">
        <v>701</v>
      </c>
    </row>
    <row r="40" spans="1:5" x14ac:dyDescent="0.35">
      <c r="A40">
        <v>39</v>
      </c>
      <c r="B40" t="s">
        <v>913</v>
      </c>
      <c r="C40" t="s">
        <v>850</v>
      </c>
      <c r="D40" t="s">
        <v>851</v>
      </c>
      <c r="E40" t="s">
        <v>701</v>
      </c>
    </row>
    <row r="41" spans="1:5" x14ac:dyDescent="0.35">
      <c r="A41">
        <v>40</v>
      </c>
      <c r="B41" t="s">
        <v>750</v>
      </c>
      <c r="C41" t="s">
        <v>850</v>
      </c>
      <c r="D41" t="s">
        <v>851</v>
      </c>
      <c r="E41" t="s">
        <v>701</v>
      </c>
    </row>
    <row r="42" spans="1:5" x14ac:dyDescent="0.35">
      <c r="A42">
        <v>41</v>
      </c>
      <c r="B42" t="s">
        <v>914</v>
      </c>
      <c r="C42" t="s">
        <v>850</v>
      </c>
      <c r="D42" t="s">
        <v>851</v>
      </c>
      <c r="E42" t="s">
        <v>701</v>
      </c>
    </row>
    <row r="43" spans="1:5" x14ac:dyDescent="0.35">
      <c r="A43">
        <v>42</v>
      </c>
      <c r="B43" t="s">
        <v>915</v>
      </c>
      <c r="C43" t="s">
        <v>850</v>
      </c>
      <c r="D43" t="s">
        <v>851</v>
      </c>
      <c r="E43" t="s">
        <v>701</v>
      </c>
    </row>
    <row r="44" spans="1:5" x14ac:dyDescent="0.35">
      <c r="A44">
        <v>43</v>
      </c>
      <c r="B44" t="s">
        <v>916</v>
      </c>
      <c r="C44" t="s">
        <v>850</v>
      </c>
      <c r="D44" t="s">
        <v>851</v>
      </c>
      <c r="E44" t="s">
        <v>701</v>
      </c>
    </row>
    <row r="45" spans="1:5" x14ac:dyDescent="0.35">
      <c r="A45">
        <v>44</v>
      </c>
      <c r="B45" t="s">
        <v>917</v>
      </c>
      <c r="C45" t="s">
        <v>850</v>
      </c>
      <c r="D45" t="s">
        <v>851</v>
      </c>
      <c r="E45" t="s">
        <v>701</v>
      </c>
    </row>
    <row r="46" spans="1:5" x14ac:dyDescent="0.35">
      <c r="A46">
        <v>45</v>
      </c>
      <c r="B46" t="s">
        <v>918</v>
      </c>
      <c r="C46" t="s">
        <v>850</v>
      </c>
      <c r="D46" t="s">
        <v>851</v>
      </c>
      <c r="E46" t="s">
        <v>701</v>
      </c>
    </row>
    <row r="47" spans="1:5" x14ac:dyDescent="0.35">
      <c r="A47">
        <v>46</v>
      </c>
      <c r="B47" t="s">
        <v>919</v>
      </c>
      <c r="C47" t="s">
        <v>850</v>
      </c>
      <c r="D47" t="s">
        <v>851</v>
      </c>
      <c r="E47" t="s">
        <v>701</v>
      </c>
    </row>
    <row r="48" spans="1:5" x14ac:dyDescent="0.35">
      <c r="A48">
        <v>47</v>
      </c>
      <c r="B48" t="s">
        <v>784</v>
      </c>
      <c r="C48" t="s">
        <v>850</v>
      </c>
      <c r="D48" t="s">
        <v>851</v>
      </c>
      <c r="E48" t="s">
        <v>701</v>
      </c>
    </row>
    <row r="49" spans="1:5" x14ac:dyDescent="0.35">
      <c r="A49">
        <v>48</v>
      </c>
      <c r="B49" t="s">
        <v>920</v>
      </c>
      <c r="C49" t="s">
        <v>850</v>
      </c>
      <c r="D49" t="s">
        <v>851</v>
      </c>
      <c r="E49" t="s">
        <v>701</v>
      </c>
    </row>
    <row r="50" spans="1:5" x14ac:dyDescent="0.35">
      <c r="A50">
        <v>49</v>
      </c>
      <c r="B50" t="s">
        <v>921</v>
      </c>
      <c r="C50" t="s">
        <v>850</v>
      </c>
      <c r="D50" t="s">
        <v>851</v>
      </c>
      <c r="E50" t="s">
        <v>701</v>
      </c>
    </row>
    <row r="51" spans="1:5" x14ac:dyDescent="0.35">
      <c r="A51">
        <v>50</v>
      </c>
      <c r="B51" t="s">
        <v>922</v>
      </c>
      <c r="C51" t="s">
        <v>850</v>
      </c>
      <c r="D51" t="s">
        <v>851</v>
      </c>
      <c r="E51" t="s">
        <v>701</v>
      </c>
    </row>
    <row r="52" spans="1:5" x14ac:dyDescent="0.35">
      <c r="A52">
        <v>51</v>
      </c>
      <c r="B52" t="s">
        <v>923</v>
      </c>
      <c r="C52" t="s">
        <v>850</v>
      </c>
      <c r="D52" t="s">
        <v>851</v>
      </c>
      <c r="E52" t="s">
        <v>701</v>
      </c>
    </row>
    <row r="53" spans="1:5" x14ac:dyDescent="0.35">
      <c r="A53">
        <v>52</v>
      </c>
      <c r="B53" t="s">
        <v>278</v>
      </c>
      <c r="C53" t="s">
        <v>850</v>
      </c>
      <c r="D53" t="s">
        <v>851</v>
      </c>
      <c r="E53" t="s">
        <v>701</v>
      </c>
    </row>
    <row r="54" spans="1:5" x14ac:dyDescent="0.35">
      <c r="A54">
        <v>53</v>
      </c>
      <c r="B54" t="s">
        <v>924</v>
      </c>
      <c r="C54" t="s">
        <v>850</v>
      </c>
      <c r="D54" t="s">
        <v>851</v>
      </c>
      <c r="E54" t="s">
        <v>701</v>
      </c>
    </row>
    <row r="55" spans="1:5" x14ac:dyDescent="0.35">
      <c r="A55">
        <v>54</v>
      </c>
      <c r="B55" t="s">
        <v>925</v>
      </c>
      <c r="C55" t="s">
        <v>850</v>
      </c>
      <c r="D55" t="s">
        <v>851</v>
      </c>
      <c r="E55" t="s">
        <v>701</v>
      </c>
    </row>
    <row r="56" spans="1:5" x14ac:dyDescent="0.35">
      <c r="A56">
        <v>55</v>
      </c>
      <c r="B56" t="s">
        <v>887</v>
      </c>
      <c r="C56" t="s">
        <v>850</v>
      </c>
      <c r="D56" t="s">
        <v>851</v>
      </c>
      <c r="E56" t="s">
        <v>701</v>
      </c>
    </row>
    <row r="57" spans="1:5" x14ac:dyDescent="0.35">
      <c r="A57">
        <v>56</v>
      </c>
      <c r="B57" t="s">
        <v>926</v>
      </c>
      <c r="C57" t="s">
        <v>850</v>
      </c>
      <c r="D57" t="s">
        <v>851</v>
      </c>
      <c r="E57" t="s">
        <v>701</v>
      </c>
    </row>
    <row r="58" spans="1:5" x14ac:dyDescent="0.35">
      <c r="A58">
        <v>57</v>
      </c>
      <c r="B58" t="s">
        <v>927</v>
      </c>
      <c r="C58" t="s">
        <v>850</v>
      </c>
      <c r="D58" t="s">
        <v>851</v>
      </c>
      <c r="E58" t="s">
        <v>701</v>
      </c>
    </row>
    <row r="59" spans="1:5" x14ac:dyDescent="0.35">
      <c r="A59">
        <v>58</v>
      </c>
      <c r="B59" t="s">
        <v>268</v>
      </c>
      <c r="C59" t="s">
        <v>850</v>
      </c>
      <c r="D59" t="s">
        <v>851</v>
      </c>
      <c r="E59" t="s">
        <v>701</v>
      </c>
    </row>
    <row r="60" spans="1:5" x14ac:dyDescent="0.35">
      <c r="A60">
        <v>59</v>
      </c>
      <c r="B60" t="s">
        <v>928</v>
      </c>
      <c r="C60" t="s">
        <v>850</v>
      </c>
      <c r="D60" t="s">
        <v>851</v>
      </c>
      <c r="E60" t="s">
        <v>701</v>
      </c>
    </row>
    <row r="61" spans="1:5" x14ac:dyDescent="0.35">
      <c r="A61">
        <v>60</v>
      </c>
      <c r="B61" t="s">
        <v>929</v>
      </c>
      <c r="C61" t="s">
        <v>850</v>
      </c>
      <c r="D61" t="s">
        <v>851</v>
      </c>
      <c r="E61" t="s">
        <v>701</v>
      </c>
    </row>
    <row r="62" spans="1:5" x14ac:dyDescent="0.35">
      <c r="A62">
        <v>61</v>
      </c>
      <c r="B62" t="s">
        <v>930</v>
      </c>
      <c r="C62" t="s">
        <v>850</v>
      </c>
      <c r="D62" t="s">
        <v>851</v>
      </c>
      <c r="E62" t="s">
        <v>701</v>
      </c>
    </row>
    <row r="63" spans="1:5" x14ac:dyDescent="0.35">
      <c r="A63">
        <v>62</v>
      </c>
      <c r="B63" t="s">
        <v>888</v>
      </c>
      <c r="C63" t="s">
        <v>850</v>
      </c>
      <c r="D63" t="s">
        <v>851</v>
      </c>
      <c r="E63" t="s">
        <v>701</v>
      </c>
    </row>
    <row r="64" spans="1:5" x14ac:dyDescent="0.35">
      <c r="A64">
        <v>63</v>
      </c>
      <c r="B64" t="s">
        <v>931</v>
      </c>
      <c r="C64" t="s">
        <v>850</v>
      </c>
      <c r="D64" t="s">
        <v>851</v>
      </c>
      <c r="E64" t="s">
        <v>701</v>
      </c>
    </row>
    <row r="65" spans="1:5" x14ac:dyDescent="0.35">
      <c r="A65">
        <v>64</v>
      </c>
      <c r="B65" t="s">
        <v>932</v>
      </c>
      <c r="C65" t="s">
        <v>850</v>
      </c>
      <c r="D65" t="s">
        <v>851</v>
      </c>
      <c r="E65" t="s">
        <v>701</v>
      </c>
    </row>
    <row r="66" spans="1:5" x14ac:dyDescent="0.35">
      <c r="A66">
        <v>65</v>
      </c>
      <c r="B66" t="s">
        <v>351</v>
      </c>
      <c r="C66" t="s">
        <v>850</v>
      </c>
      <c r="D66" t="s">
        <v>851</v>
      </c>
      <c r="E66" t="s">
        <v>701</v>
      </c>
    </row>
    <row r="67" spans="1:5" x14ac:dyDescent="0.35">
      <c r="A67">
        <v>66</v>
      </c>
      <c r="B67" t="s">
        <v>933</v>
      </c>
      <c r="C67" t="s">
        <v>850</v>
      </c>
      <c r="D67" t="s">
        <v>851</v>
      </c>
      <c r="E67" t="s">
        <v>701</v>
      </c>
    </row>
    <row r="68" spans="1:5" x14ac:dyDescent="0.35">
      <c r="A68">
        <v>67</v>
      </c>
      <c r="B68" t="s">
        <v>837</v>
      </c>
      <c r="C68" t="s">
        <v>850</v>
      </c>
      <c r="D68" t="s">
        <v>851</v>
      </c>
      <c r="E68" t="s">
        <v>701</v>
      </c>
    </row>
    <row r="69" spans="1:5" x14ac:dyDescent="0.35">
      <c r="A69">
        <v>68</v>
      </c>
      <c r="B69" t="s">
        <v>934</v>
      </c>
      <c r="C69" t="s">
        <v>850</v>
      </c>
      <c r="D69" t="s">
        <v>851</v>
      </c>
      <c r="E69" t="s">
        <v>701</v>
      </c>
    </row>
    <row r="70" spans="1:5" x14ac:dyDescent="0.35">
      <c r="A70">
        <v>69</v>
      </c>
      <c r="B70" t="s">
        <v>935</v>
      </c>
      <c r="C70" t="s">
        <v>850</v>
      </c>
      <c r="D70" t="s">
        <v>851</v>
      </c>
      <c r="E70" t="s">
        <v>701</v>
      </c>
    </row>
    <row r="71" spans="1:5" x14ac:dyDescent="0.35">
      <c r="A71">
        <v>70</v>
      </c>
      <c r="B71" t="s">
        <v>936</v>
      </c>
      <c r="C71" t="s">
        <v>850</v>
      </c>
      <c r="D71" t="s">
        <v>851</v>
      </c>
      <c r="E71" t="s">
        <v>701</v>
      </c>
    </row>
    <row r="72" spans="1:5" x14ac:dyDescent="0.35">
      <c r="A72">
        <v>71</v>
      </c>
      <c r="B72" t="s">
        <v>937</v>
      </c>
      <c r="C72" t="s">
        <v>848</v>
      </c>
      <c r="D72" t="s">
        <v>851</v>
      </c>
      <c r="E72" t="s">
        <v>701</v>
      </c>
    </row>
    <row r="73" spans="1:5" x14ac:dyDescent="0.35">
      <c r="A73">
        <v>72</v>
      </c>
      <c r="B73" t="s">
        <v>938</v>
      </c>
      <c r="C73" t="s">
        <v>848</v>
      </c>
      <c r="D73" t="s">
        <v>851</v>
      </c>
      <c r="E73" t="s">
        <v>701</v>
      </c>
    </row>
    <row r="74" spans="1:5" x14ac:dyDescent="0.35">
      <c r="A74">
        <v>73</v>
      </c>
      <c r="B74" t="s">
        <v>85</v>
      </c>
      <c r="C74" t="s">
        <v>848</v>
      </c>
      <c r="D74" t="s">
        <v>851</v>
      </c>
      <c r="E74" t="s">
        <v>701</v>
      </c>
    </row>
    <row r="75" spans="1:5" x14ac:dyDescent="0.35">
      <c r="A75">
        <v>74</v>
      </c>
      <c r="B75" t="s">
        <v>939</v>
      </c>
      <c r="C75" t="s">
        <v>848</v>
      </c>
      <c r="D75" t="s">
        <v>851</v>
      </c>
      <c r="E75" t="s">
        <v>701</v>
      </c>
    </row>
    <row r="76" spans="1:5" x14ac:dyDescent="0.35">
      <c r="A76">
        <v>75</v>
      </c>
      <c r="B76" t="s">
        <v>940</v>
      </c>
      <c r="C76" t="s">
        <v>848</v>
      </c>
      <c r="D76" t="s">
        <v>851</v>
      </c>
      <c r="E76" t="s">
        <v>701</v>
      </c>
    </row>
    <row r="77" spans="1:5" x14ac:dyDescent="0.35">
      <c r="A77">
        <v>76</v>
      </c>
      <c r="B77" t="s">
        <v>941</v>
      </c>
      <c r="C77" t="s">
        <v>848</v>
      </c>
      <c r="D77" t="s">
        <v>851</v>
      </c>
      <c r="E77" t="s">
        <v>701</v>
      </c>
    </row>
    <row r="78" spans="1:5" x14ac:dyDescent="0.35">
      <c r="A78">
        <v>77</v>
      </c>
      <c r="B78" t="s">
        <v>942</v>
      </c>
      <c r="C78" t="s">
        <v>848</v>
      </c>
      <c r="D78" t="s">
        <v>851</v>
      </c>
      <c r="E78" t="s">
        <v>701</v>
      </c>
    </row>
    <row r="79" spans="1:5" x14ac:dyDescent="0.35">
      <c r="A79">
        <v>78</v>
      </c>
      <c r="B79" t="s">
        <v>943</v>
      </c>
      <c r="C79" t="s">
        <v>848</v>
      </c>
      <c r="D79" t="s">
        <v>851</v>
      </c>
      <c r="E79" t="s">
        <v>701</v>
      </c>
    </row>
    <row r="80" spans="1:5" x14ac:dyDescent="0.35">
      <c r="A80">
        <v>79</v>
      </c>
      <c r="B80" t="s">
        <v>228</v>
      </c>
      <c r="C80" t="s">
        <v>848</v>
      </c>
      <c r="D80" t="s">
        <v>851</v>
      </c>
      <c r="E80" t="s">
        <v>701</v>
      </c>
    </row>
    <row r="81" spans="1:5" x14ac:dyDescent="0.35">
      <c r="A81">
        <v>80</v>
      </c>
      <c r="B81" t="s">
        <v>944</v>
      </c>
      <c r="C81" t="s">
        <v>848</v>
      </c>
      <c r="D81" t="s">
        <v>851</v>
      </c>
      <c r="E81" t="s">
        <v>701</v>
      </c>
    </row>
    <row r="82" spans="1:5" x14ac:dyDescent="0.35">
      <c r="A82">
        <v>81</v>
      </c>
      <c r="B82" t="s">
        <v>945</v>
      </c>
      <c r="C82" t="s">
        <v>848</v>
      </c>
      <c r="D82" t="s">
        <v>851</v>
      </c>
      <c r="E82" t="s">
        <v>701</v>
      </c>
    </row>
    <row r="83" spans="1:5" x14ac:dyDescent="0.35">
      <c r="A83">
        <v>82</v>
      </c>
      <c r="B83" t="s">
        <v>885</v>
      </c>
      <c r="C83" t="s">
        <v>848</v>
      </c>
      <c r="D83" t="s">
        <v>851</v>
      </c>
      <c r="E83" t="s">
        <v>701</v>
      </c>
    </row>
    <row r="84" spans="1:5" x14ac:dyDescent="0.35">
      <c r="A84">
        <v>83</v>
      </c>
      <c r="B84" t="s">
        <v>946</v>
      </c>
      <c r="C84" t="s">
        <v>848</v>
      </c>
      <c r="D84" t="s">
        <v>851</v>
      </c>
      <c r="E84" t="s">
        <v>701</v>
      </c>
    </row>
    <row r="85" spans="1:5" x14ac:dyDescent="0.35">
      <c r="A85">
        <v>84</v>
      </c>
      <c r="B85" t="s">
        <v>947</v>
      </c>
      <c r="C85" t="s">
        <v>848</v>
      </c>
      <c r="D85" t="s">
        <v>851</v>
      </c>
      <c r="E85" t="s">
        <v>701</v>
      </c>
    </row>
    <row r="86" spans="1:5" x14ac:dyDescent="0.35">
      <c r="A86">
        <v>85</v>
      </c>
      <c r="B86" t="s">
        <v>948</v>
      </c>
      <c r="C86" t="s">
        <v>848</v>
      </c>
      <c r="D86" t="s">
        <v>851</v>
      </c>
      <c r="E86" t="s">
        <v>701</v>
      </c>
    </row>
    <row r="87" spans="1:5" x14ac:dyDescent="0.35">
      <c r="A87">
        <v>86</v>
      </c>
      <c r="B87" t="s">
        <v>244</v>
      </c>
      <c r="C87" t="s">
        <v>848</v>
      </c>
      <c r="D87" t="s">
        <v>851</v>
      </c>
      <c r="E87" t="s">
        <v>701</v>
      </c>
    </row>
    <row r="88" spans="1:5" x14ac:dyDescent="0.35">
      <c r="A88">
        <v>87</v>
      </c>
      <c r="B88" t="s">
        <v>949</v>
      </c>
      <c r="C88" t="s">
        <v>848</v>
      </c>
      <c r="D88" t="s">
        <v>851</v>
      </c>
      <c r="E88" t="s">
        <v>701</v>
      </c>
    </row>
    <row r="89" spans="1:5" x14ac:dyDescent="0.35">
      <c r="A89">
        <v>88</v>
      </c>
      <c r="B89" t="s">
        <v>950</v>
      </c>
      <c r="C89" t="s">
        <v>848</v>
      </c>
      <c r="D89" t="s">
        <v>851</v>
      </c>
      <c r="E89" t="s">
        <v>701</v>
      </c>
    </row>
    <row r="90" spans="1:5" x14ac:dyDescent="0.35">
      <c r="A90">
        <v>89</v>
      </c>
      <c r="B90" t="s">
        <v>951</v>
      </c>
      <c r="C90" t="s">
        <v>848</v>
      </c>
      <c r="D90" t="s">
        <v>851</v>
      </c>
      <c r="E90" t="s">
        <v>701</v>
      </c>
    </row>
    <row r="91" spans="1:5" x14ac:dyDescent="0.35">
      <c r="A91">
        <v>90</v>
      </c>
      <c r="B91" t="s">
        <v>675</v>
      </c>
      <c r="C91" t="s">
        <v>848</v>
      </c>
      <c r="D91" t="s">
        <v>851</v>
      </c>
      <c r="E91" t="s">
        <v>701</v>
      </c>
    </row>
    <row r="92" spans="1:5" x14ac:dyDescent="0.35">
      <c r="A92">
        <v>91</v>
      </c>
      <c r="B92" t="s">
        <v>559</v>
      </c>
      <c r="C92" t="s">
        <v>848</v>
      </c>
      <c r="D92" t="s">
        <v>851</v>
      </c>
      <c r="E92" t="s">
        <v>701</v>
      </c>
    </row>
    <row r="93" spans="1:5" x14ac:dyDescent="0.35">
      <c r="A93">
        <v>92</v>
      </c>
      <c r="B93" t="s">
        <v>952</v>
      </c>
      <c r="C93" t="s">
        <v>848</v>
      </c>
      <c r="D93" t="s">
        <v>851</v>
      </c>
      <c r="E93" t="s">
        <v>701</v>
      </c>
    </row>
    <row r="94" spans="1:5" x14ac:dyDescent="0.35">
      <c r="A94">
        <v>93</v>
      </c>
      <c r="B94" t="s">
        <v>953</v>
      </c>
      <c r="C94" t="s">
        <v>848</v>
      </c>
      <c r="D94" t="s">
        <v>851</v>
      </c>
      <c r="E94" t="s">
        <v>701</v>
      </c>
    </row>
    <row r="95" spans="1:5" x14ac:dyDescent="0.35">
      <c r="A95">
        <v>94</v>
      </c>
      <c r="B95" t="s">
        <v>250</v>
      </c>
      <c r="C95" t="s">
        <v>848</v>
      </c>
      <c r="D95" t="s">
        <v>851</v>
      </c>
      <c r="E95" t="s">
        <v>701</v>
      </c>
    </row>
    <row r="96" spans="1:5" x14ac:dyDescent="0.35">
      <c r="A96">
        <v>95</v>
      </c>
      <c r="B96" t="s">
        <v>708</v>
      </c>
      <c r="C96" t="s">
        <v>848</v>
      </c>
      <c r="D96" t="s">
        <v>851</v>
      </c>
      <c r="E96" t="s">
        <v>701</v>
      </c>
    </row>
    <row r="97" spans="1:5" x14ac:dyDescent="0.35">
      <c r="A97">
        <v>96</v>
      </c>
      <c r="B97" t="s">
        <v>954</v>
      </c>
      <c r="C97" t="s">
        <v>848</v>
      </c>
      <c r="D97" t="s">
        <v>851</v>
      </c>
      <c r="E97" t="s">
        <v>701</v>
      </c>
    </row>
    <row r="98" spans="1:5" x14ac:dyDescent="0.35">
      <c r="A98">
        <v>97</v>
      </c>
      <c r="B98" t="s">
        <v>955</v>
      </c>
      <c r="C98" t="s">
        <v>848</v>
      </c>
      <c r="D98" t="s">
        <v>851</v>
      </c>
      <c r="E98" t="s">
        <v>701</v>
      </c>
    </row>
    <row r="99" spans="1:5" x14ac:dyDescent="0.35">
      <c r="A99">
        <v>98</v>
      </c>
      <c r="B99" t="s">
        <v>956</v>
      </c>
      <c r="C99" t="s">
        <v>848</v>
      </c>
      <c r="D99" t="s">
        <v>851</v>
      </c>
      <c r="E99" t="s">
        <v>701</v>
      </c>
    </row>
    <row r="100" spans="1:5" x14ac:dyDescent="0.35">
      <c r="A100">
        <v>99</v>
      </c>
      <c r="B100" t="s">
        <v>957</v>
      </c>
      <c r="C100" t="s">
        <v>848</v>
      </c>
      <c r="D100" t="s">
        <v>851</v>
      </c>
      <c r="E100" t="s">
        <v>701</v>
      </c>
    </row>
    <row r="101" spans="1:5" x14ac:dyDescent="0.35">
      <c r="A101">
        <v>100</v>
      </c>
      <c r="B101" t="s">
        <v>958</v>
      </c>
      <c r="C101" t="s">
        <v>848</v>
      </c>
      <c r="D101" t="s">
        <v>851</v>
      </c>
      <c r="E101" t="s">
        <v>701</v>
      </c>
    </row>
    <row r="102" spans="1:5" x14ac:dyDescent="0.35">
      <c r="A102">
        <v>101</v>
      </c>
      <c r="B102" t="s">
        <v>959</v>
      </c>
      <c r="C102" t="s">
        <v>848</v>
      </c>
      <c r="D102" t="s">
        <v>851</v>
      </c>
      <c r="E102" t="s">
        <v>701</v>
      </c>
    </row>
    <row r="103" spans="1:5" x14ac:dyDescent="0.35">
      <c r="A103">
        <v>102</v>
      </c>
      <c r="B103" t="s">
        <v>960</v>
      </c>
      <c r="C103" t="s">
        <v>848</v>
      </c>
      <c r="D103" t="s">
        <v>851</v>
      </c>
      <c r="E103" t="s">
        <v>701</v>
      </c>
    </row>
    <row r="104" spans="1:5" x14ac:dyDescent="0.35">
      <c r="A104">
        <v>103</v>
      </c>
      <c r="B104" t="s">
        <v>961</v>
      </c>
      <c r="C104" t="s">
        <v>848</v>
      </c>
      <c r="D104" t="s">
        <v>851</v>
      </c>
      <c r="E104" t="s">
        <v>701</v>
      </c>
    </row>
    <row r="105" spans="1:5" x14ac:dyDescent="0.35">
      <c r="A105">
        <v>104</v>
      </c>
      <c r="B105" t="s">
        <v>962</v>
      </c>
      <c r="C105" t="s">
        <v>848</v>
      </c>
      <c r="D105" t="s">
        <v>851</v>
      </c>
      <c r="E105" t="s">
        <v>701</v>
      </c>
    </row>
    <row r="106" spans="1:5" x14ac:dyDescent="0.35">
      <c r="A106">
        <v>105</v>
      </c>
      <c r="B106" t="s">
        <v>963</v>
      </c>
      <c r="C106" t="s">
        <v>848</v>
      </c>
      <c r="D106" t="s">
        <v>851</v>
      </c>
      <c r="E106" t="s">
        <v>701</v>
      </c>
    </row>
    <row r="107" spans="1:5" x14ac:dyDescent="0.35">
      <c r="A107">
        <v>106</v>
      </c>
      <c r="B107" t="s">
        <v>116</v>
      </c>
      <c r="C107" t="s">
        <v>848</v>
      </c>
      <c r="D107" t="s">
        <v>851</v>
      </c>
      <c r="E107" t="s">
        <v>701</v>
      </c>
    </row>
    <row r="108" spans="1:5" x14ac:dyDescent="0.35">
      <c r="A108">
        <v>107</v>
      </c>
      <c r="B108" t="s">
        <v>377</v>
      </c>
      <c r="C108" t="s">
        <v>848</v>
      </c>
      <c r="D108" t="s">
        <v>851</v>
      </c>
      <c r="E108" t="s">
        <v>701</v>
      </c>
    </row>
    <row r="109" spans="1:5" x14ac:dyDescent="0.35">
      <c r="A109">
        <v>108</v>
      </c>
      <c r="B109" t="s">
        <v>168</v>
      </c>
      <c r="C109" t="s">
        <v>848</v>
      </c>
      <c r="D109" t="s">
        <v>851</v>
      </c>
      <c r="E109" t="s">
        <v>701</v>
      </c>
    </row>
    <row r="110" spans="1:5" x14ac:dyDescent="0.35">
      <c r="A110">
        <v>109</v>
      </c>
      <c r="B110" t="s">
        <v>347</v>
      </c>
      <c r="C110" t="s">
        <v>848</v>
      </c>
      <c r="D110" t="s">
        <v>851</v>
      </c>
      <c r="E110" t="s">
        <v>701</v>
      </c>
    </row>
    <row r="111" spans="1:5" x14ac:dyDescent="0.35">
      <c r="A111">
        <v>110</v>
      </c>
      <c r="B111" t="s">
        <v>964</v>
      </c>
      <c r="C111" t="s">
        <v>848</v>
      </c>
      <c r="D111" t="s">
        <v>851</v>
      </c>
      <c r="E111" t="s">
        <v>701</v>
      </c>
    </row>
    <row r="112" spans="1:5" x14ac:dyDescent="0.35">
      <c r="A112">
        <v>111</v>
      </c>
      <c r="B112" t="s">
        <v>965</v>
      </c>
      <c r="C112" t="s">
        <v>848</v>
      </c>
      <c r="D112" t="s">
        <v>851</v>
      </c>
      <c r="E112" t="s">
        <v>701</v>
      </c>
    </row>
    <row r="113" spans="1:5" x14ac:dyDescent="0.35">
      <c r="A113">
        <v>112</v>
      </c>
      <c r="B113" t="s">
        <v>81</v>
      </c>
      <c r="C113" t="s">
        <v>848</v>
      </c>
      <c r="D113" t="s">
        <v>851</v>
      </c>
      <c r="E113" t="s">
        <v>701</v>
      </c>
    </row>
    <row r="114" spans="1:5" x14ac:dyDescent="0.35">
      <c r="A114">
        <v>113</v>
      </c>
      <c r="B114" t="s">
        <v>966</v>
      </c>
      <c r="C114" t="s">
        <v>848</v>
      </c>
      <c r="D114" t="s">
        <v>851</v>
      </c>
      <c r="E114" t="s">
        <v>701</v>
      </c>
    </row>
    <row r="115" spans="1:5" x14ac:dyDescent="0.35">
      <c r="A115">
        <v>114</v>
      </c>
      <c r="B115" t="s">
        <v>922</v>
      </c>
      <c r="C115" t="s">
        <v>848</v>
      </c>
      <c r="D115" t="s">
        <v>851</v>
      </c>
      <c r="E115" t="s">
        <v>701</v>
      </c>
    </row>
    <row r="116" spans="1:5" x14ac:dyDescent="0.35">
      <c r="A116">
        <v>115</v>
      </c>
      <c r="B116" t="s">
        <v>967</v>
      </c>
      <c r="C116" t="s">
        <v>848</v>
      </c>
      <c r="D116" t="s">
        <v>851</v>
      </c>
      <c r="E116" t="s">
        <v>701</v>
      </c>
    </row>
    <row r="117" spans="1:5" x14ac:dyDescent="0.35">
      <c r="A117">
        <v>116</v>
      </c>
      <c r="B117" t="s">
        <v>968</v>
      </c>
      <c r="C117" t="s">
        <v>848</v>
      </c>
      <c r="D117" t="s">
        <v>851</v>
      </c>
      <c r="E117" t="s">
        <v>701</v>
      </c>
    </row>
    <row r="118" spans="1:5" x14ac:dyDescent="0.35">
      <c r="A118">
        <v>117</v>
      </c>
      <c r="B118" t="s">
        <v>969</v>
      </c>
      <c r="C118" t="s">
        <v>848</v>
      </c>
      <c r="D118" t="s">
        <v>851</v>
      </c>
      <c r="E118" t="s">
        <v>701</v>
      </c>
    </row>
    <row r="119" spans="1:5" x14ac:dyDescent="0.35">
      <c r="A119">
        <v>118</v>
      </c>
      <c r="B119" t="s">
        <v>157</v>
      </c>
      <c r="C119" t="s">
        <v>848</v>
      </c>
      <c r="D119" t="s">
        <v>851</v>
      </c>
      <c r="E119" t="s">
        <v>701</v>
      </c>
    </row>
    <row r="120" spans="1:5" x14ac:dyDescent="0.35">
      <c r="A120">
        <v>119</v>
      </c>
      <c r="B120" t="s">
        <v>970</v>
      </c>
      <c r="C120" t="s">
        <v>848</v>
      </c>
      <c r="D120" t="s">
        <v>851</v>
      </c>
      <c r="E120" t="s">
        <v>701</v>
      </c>
    </row>
    <row r="121" spans="1:5" x14ac:dyDescent="0.35">
      <c r="A121">
        <v>120</v>
      </c>
      <c r="B121" t="s">
        <v>873</v>
      </c>
      <c r="C121" t="s">
        <v>848</v>
      </c>
      <c r="D121" t="s">
        <v>851</v>
      </c>
      <c r="E121" t="s">
        <v>701</v>
      </c>
    </row>
    <row r="122" spans="1:5" x14ac:dyDescent="0.35">
      <c r="A122">
        <v>121</v>
      </c>
      <c r="B122" t="s">
        <v>971</v>
      </c>
      <c r="C122" t="s">
        <v>848</v>
      </c>
      <c r="D122" t="s">
        <v>851</v>
      </c>
      <c r="E122" t="s">
        <v>701</v>
      </c>
    </row>
    <row r="123" spans="1:5" x14ac:dyDescent="0.35">
      <c r="A123">
        <v>122</v>
      </c>
      <c r="B123" t="s">
        <v>953</v>
      </c>
      <c r="C123" t="s">
        <v>848</v>
      </c>
      <c r="D123" t="s">
        <v>851</v>
      </c>
      <c r="E123" t="s">
        <v>701</v>
      </c>
    </row>
    <row r="124" spans="1:5" x14ac:dyDescent="0.35">
      <c r="A124">
        <v>123</v>
      </c>
      <c r="B124" t="s">
        <v>972</v>
      </c>
      <c r="C124" t="s">
        <v>848</v>
      </c>
      <c r="D124" t="s">
        <v>851</v>
      </c>
      <c r="E124" t="s">
        <v>701</v>
      </c>
    </row>
    <row r="125" spans="1:5" x14ac:dyDescent="0.35">
      <c r="A125">
        <v>124</v>
      </c>
      <c r="B125" t="s">
        <v>973</v>
      </c>
      <c r="C125" t="s">
        <v>848</v>
      </c>
      <c r="D125" t="s">
        <v>851</v>
      </c>
      <c r="E125" t="s">
        <v>701</v>
      </c>
    </row>
    <row r="126" spans="1:5" x14ac:dyDescent="0.35">
      <c r="A126">
        <v>125</v>
      </c>
      <c r="B126" t="s">
        <v>974</v>
      </c>
      <c r="C126" t="s">
        <v>848</v>
      </c>
      <c r="D126" t="s">
        <v>851</v>
      </c>
      <c r="E126" t="s">
        <v>701</v>
      </c>
    </row>
    <row r="127" spans="1:5" x14ac:dyDescent="0.35">
      <c r="A127">
        <v>126</v>
      </c>
      <c r="B127" t="s">
        <v>975</v>
      </c>
      <c r="C127" t="s">
        <v>848</v>
      </c>
      <c r="D127" t="s">
        <v>851</v>
      </c>
      <c r="E127" t="s">
        <v>701</v>
      </c>
    </row>
    <row r="128" spans="1:5" x14ac:dyDescent="0.35">
      <c r="A128">
        <v>127</v>
      </c>
      <c r="B128" t="s">
        <v>976</v>
      </c>
      <c r="C128" t="s">
        <v>848</v>
      </c>
      <c r="D128" t="s">
        <v>851</v>
      </c>
      <c r="E128" t="s">
        <v>701</v>
      </c>
    </row>
    <row r="129" spans="1:5" x14ac:dyDescent="0.35">
      <c r="A129">
        <v>128</v>
      </c>
      <c r="B129" t="s">
        <v>977</v>
      </c>
      <c r="C129" t="s">
        <v>848</v>
      </c>
      <c r="D129" t="s">
        <v>851</v>
      </c>
      <c r="E129" t="s">
        <v>701</v>
      </c>
    </row>
    <row r="130" spans="1:5" x14ac:dyDescent="0.35">
      <c r="A130">
        <v>129</v>
      </c>
      <c r="B130" t="s">
        <v>506</v>
      </c>
      <c r="C130" t="s">
        <v>848</v>
      </c>
      <c r="D130" t="s">
        <v>851</v>
      </c>
      <c r="E130" t="s">
        <v>701</v>
      </c>
    </row>
    <row r="131" spans="1:5" x14ac:dyDescent="0.35">
      <c r="A131">
        <v>130</v>
      </c>
      <c r="B131" t="s">
        <v>158</v>
      </c>
      <c r="C131" t="s">
        <v>848</v>
      </c>
      <c r="D131" t="s">
        <v>851</v>
      </c>
      <c r="E131" t="s">
        <v>701</v>
      </c>
    </row>
    <row r="132" spans="1:5" x14ac:dyDescent="0.35">
      <c r="A132">
        <v>131</v>
      </c>
      <c r="B132" t="s">
        <v>978</v>
      </c>
      <c r="C132" t="s">
        <v>848</v>
      </c>
      <c r="D132" t="s">
        <v>851</v>
      </c>
      <c r="E132" t="s">
        <v>701</v>
      </c>
    </row>
    <row r="133" spans="1:5" x14ac:dyDescent="0.35">
      <c r="A133">
        <v>132</v>
      </c>
      <c r="B133" t="s">
        <v>908</v>
      </c>
      <c r="C133" t="s">
        <v>848</v>
      </c>
      <c r="D133" t="s">
        <v>851</v>
      </c>
      <c r="E133" t="s">
        <v>701</v>
      </c>
    </row>
    <row r="134" spans="1:5" x14ac:dyDescent="0.35">
      <c r="A134">
        <v>133</v>
      </c>
      <c r="B134" t="s">
        <v>979</v>
      </c>
      <c r="C134" t="s">
        <v>848</v>
      </c>
      <c r="D134" t="s">
        <v>851</v>
      </c>
      <c r="E134" t="s">
        <v>701</v>
      </c>
    </row>
    <row r="135" spans="1:5" x14ac:dyDescent="0.35">
      <c r="A135">
        <v>134</v>
      </c>
      <c r="B135" t="s">
        <v>980</v>
      </c>
      <c r="C135" t="s">
        <v>848</v>
      </c>
      <c r="D135" t="s">
        <v>851</v>
      </c>
      <c r="E135" t="s">
        <v>701</v>
      </c>
    </row>
    <row r="136" spans="1:5" x14ac:dyDescent="0.35">
      <c r="A136">
        <v>135</v>
      </c>
      <c r="B136" t="s">
        <v>981</v>
      </c>
      <c r="C136" t="s">
        <v>848</v>
      </c>
      <c r="D136" t="s">
        <v>851</v>
      </c>
      <c r="E136" t="s">
        <v>701</v>
      </c>
    </row>
    <row r="137" spans="1:5" x14ac:dyDescent="0.35">
      <c r="A137">
        <v>136</v>
      </c>
      <c r="B137" t="s">
        <v>982</v>
      </c>
      <c r="C137" t="s">
        <v>848</v>
      </c>
      <c r="D137" t="s">
        <v>851</v>
      </c>
      <c r="E137" t="s">
        <v>701</v>
      </c>
    </row>
    <row r="138" spans="1:5" x14ac:dyDescent="0.35">
      <c r="A138">
        <v>137</v>
      </c>
      <c r="B138" t="s">
        <v>983</v>
      </c>
      <c r="C138" t="s">
        <v>848</v>
      </c>
      <c r="D138" t="s">
        <v>851</v>
      </c>
      <c r="E138" t="s">
        <v>701</v>
      </c>
    </row>
    <row r="139" spans="1:5" x14ac:dyDescent="0.35">
      <c r="A139">
        <v>138</v>
      </c>
      <c r="B139" t="s">
        <v>697</v>
      </c>
      <c r="C139" t="s">
        <v>848</v>
      </c>
      <c r="D139" t="s">
        <v>851</v>
      </c>
      <c r="E139" t="s">
        <v>701</v>
      </c>
    </row>
    <row r="140" spans="1:5" x14ac:dyDescent="0.35">
      <c r="A140">
        <v>139</v>
      </c>
      <c r="B140" t="s">
        <v>853</v>
      </c>
      <c r="C140" t="s">
        <v>854</v>
      </c>
      <c r="D140" t="s">
        <v>849</v>
      </c>
      <c r="E140" t="s">
        <v>855</v>
      </c>
    </row>
    <row r="141" spans="1:5" x14ac:dyDescent="0.35">
      <c r="A141">
        <v>140</v>
      </c>
      <c r="B141" t="s">
        <v>856</v>
      </c>
      <c r="C141" t="s">
        <v>854</v>
      </c>
      <c r="D141" t="s">
        <v>849</v>
      </c>
      <c r="E141" t="s">
        <v>855</v>
      </c>
    </row>
    <row r="142" spans="1:5" x14ac:dyDescent="0.35">
      <c r="A142">
        <v>141</v>
      </c>
      <c r="B142" t="s">
        <v>857</v>
      </c>
      <c r="C142" t="s">
        <v>854</v>
      </c>
      <c r="D142" t="s">
        <v>849</v>
      </c>
      <c r="E142" t="s">
        <v>855</v>
      </c>
    </row>
    <row r="143" spans="1:5" x14ac:dyDescent="0.35">
      <c r="A143">
        <v>142</v>
      </c>
      <c r="B143" t="s">
        <v>858</v>
      </c>
      <c r="C143" t="s">
        <v>854</v>
      </c>
      <c r="D143" t="s">
        <v>849</v>
      </c>
      <c r="E143" t="s">
        <v>855</v>
      </c>
    </row>
    <row r="144" spans="1:5" x14ac:dyDescent="0.35">
      <c r="A144">
        <v>143</v>
      </c>
      <c r="B144" t="s">
        <v>859</v>
      </c>
      <c r="C144" t="s">
        <v>854</v>
      </c>
      <c r="D144" t="s">
        <v>849</v>
      </c>
      <c r="E144" t="s">
        <v>855</v>
      </c>
    </row>
    <row r="145" spans="1:5" x14ac:dyDescent="0.35">
      <c r="A145">
        <v>144</v>
      </c>
      <c r="B145" t="s">
        <v>860</v>
      </c>
      <c r="C145" t="s">
        <v>854</v>
      </c>
      <c r="D145" t="s">
        <v>849</v>
      </c>
      <c r="E145" t="s">
        <v>855</v>
      </c>
    </row>
    <row r="146" spans="1:5" x14ac:dyDescent="0.35">
      <c r="A146">
        <v>145</v>
      </c>
      <c r="B146" t="s">
        <v>861</v>
      </c>
      <c r="C146" t="s">
        <v>854</v>
      </c>
      <c r="D146" t="s">
        <v>849</v>
      </c>
      <c r="E146" t="s">
        <v>855</v>
      </c>
    </row>
    <row r="147" spans="1:5" x14ac:dyDescent="0.35">
      <c r="A147">
        <v>146</v>
      </c>
      <c r="B147" t="s">
        <v>862</v>
      </c>
      <c r="C147" t="s">
        <v>854</v>
      </c>
      <c r="D147" t="s">
        <v>849</v>
      </c>
      <c r="E147" t="s">
        <v>855</v>
      </c>
    </row>
    <row r="148" spans="1:5" x14ac:dyDescent="0.35">
      <c r="A148">
        <v>147</v>
      </c>
      <c r="B148" t="s">
        <v>863</v>
      </c>
      <c r="C148" t="s">
        <v>854</v>
      </c>
      <c r="D148" t="s">
        <v>849</v>
      </c>
      <c r="E148" t="s">
        <v>855</v>
      </c>
    </row>
    <row r="149" spans="1:5" x14ac:dyDescent="0.35">
      <c r="A149">
        <v>148</v>
      </c>
      <c r="B149" t="s">
        <v>864</v>
      </c>
      <c r="C149" t="s">
        <v>854</v>
      </c>
      <c r="D149" t="s">
        <v>849</v>
      </c>
      <c r="E149" t="s">
        <v>855</v>
      </c>
    </row>
    <row r="150" spans="1:5" x14ac:dyDescent="0.35">
      <c r="A150">
        <v>149</v>
      </c>
      <c r="B150" t="s">
        <v>244</v>
      </c>
      <c r="C150" t="s">
        <v>854</v>
      </c>
      <c r="D150" t="s">
        <v>849</v>
      </c>
      <c r="E150" t="s">
        <v>855</v>
      </c>
    </row>
    <row r="151" spans="1:5" x14ac:dyDescent="0.35">
      <c r="A151">
        <v>150</v>
      </c>
      <c r="B151" t="s">
        <v>865</v>
      </c>
      <c r="C151" t="s">
        <v>854</v>
      </c>
      <c r="D151" t="s">
        <v>849</v>
      </c>
      <c r="E151" t="s">
        <v>855</v>
      </c>
    </row>
    <row r="152" spans="1:5" x14ac:dyDescent="0.35">
      <c r="A152">
        <v>151</v>
      </c>
      <c r="B152" t="s">
        <v>866</v>
      </c>
      <c r="C152" t="s">
        <v>854</v>
      </c>
      <c r="D152" t="s">
        <v>849</v>
      </c>
      <c r="E152" t="s">
        <v>855</v>
      </c>
    </row>
    <row r="153" spans="1:5" x14ac:dyDescent="0.35">
      <c r="A153">
        <v>152</v>
      </c>
      <c r="B153" t="s">
        <v>867</v>
      </c>
      <c r="C153" t="s">
        <v>854</v>
      </c>
      <c r="D153" t="s">
        <v>849</v>
      </c>
      <c r="E153" t="s">
        <v>855</v>
      </c>
    </row>
    <row r="154" spans="1:5" x14ac:dyDescent="0.35">
      <c r="A154">
        <v>153</v>
      </c>
      <c r="B154" t="s">
        <v>868</v>
      </c>
      <c r="C154" t="s">
        <v>854</v>
      </c>
      <c r="D154" t="s">
        <v>849</v>
      </c>
      <c r="E154" t="s">
        <v>855</v>
      </c>
    </row>
    <row r="155" spans="1:5" x14ac:dyDescent="0.35">
      <c r="A155">
        <v>154</v>
      </c>
      <c r="B155" t="s">
        <v>869</v>
      </c>
      <c r="C155" t="s">
        <v>854</v>
      </c>
      <c r="D155" t="s">
        <v>849</v>
      </c>
      <c r="E155" t="s">
        <v>855</v>
      </c>
    </row>
    <row r="156" spans="1:5" x14ac:dyDescent="0.35">
      <c r="A156">
        <v>155</v>
      </c>
      <c r="B156" t="s">
        <v>278</v>
      </c>
      <c r="C156" t="s">
        <v>854</v>
      </c>
      <c r="D156" t="s">
        <v>849</v>
      </c>
      <c r="E156" t="s">
        <v>855</v>
      </c>
    </row>
    <row r="157" spans="1:5" x14ac:dyDescent="0.35">
      <c r="A157">
        <v>156</v>
      </c>
      <c r="B157" t="s">
        <v>870</v>
      </c>
      <c r="C157" t="s">
        <v>854</v>
      </c>
      <c r="D157" t="s">
        <v>849</v>
      </c>
      <c r="E157" t="s">
        <v>855</v>
      </c>
    </row>
    <row r="158" spans="1:5" x14ac:dyDescent="0.35">
      <c r="A158">
        <v>157</v>
      </c>
      <c r="B158" t="s">
        <v>871</v>
      </c>
      <c r="C158" t="s">
        <v>854</v>
      </c>
      <c r="D158" t="s">
        <v>849</v>
      </c>
      <c r="E158" t="s">
        <v>855</v>
      </c>
    </row>
    <row r="159" spans="1:5" x14ac:dyDescent="0.35">
      <c r="A159">
        <v>158</v>
      </c>
      <c r="B159" t="s">
        <v>279</v>
      </c>
      <c r="C159" t="s">
        <v>854</v>
      </c>
      <c r="D159" t="s">
        <v>849</v>
      </c>
      <c r="E159" t="s">
        <v>855</v>
      </c>
    </row>
    <row r="160" spans="1:5" x14ac:dyDescent="0.35">
      <c r="A160">
        <v>159</v>
      </c>
      <c r="B160" t="s">
        <v>872</v>
      </c>
      <c r="C160" t="s">
        <v>854</v>
      </c>
      <c r="D160" t="s">
        <v>849</v>
      </c>
      <c r="E160" t="s">
        <v>855</v>
      </c>
    </row>
    <row r="161" spans="1:5" x14ac:dyDescent="0.35">
      <c r="A161">
        <v>160</v>
      </c>
      <c r="B161" t="s">
        <v>873</v>
      </c>
      <c r="C161" t="s">
        <v>854</v>
      </c>
      <c r="D161" t="s">
        <v>849</v>
      </c>
      <c r="E161" t="s">
        <v>855</v>
      </c>
    </row>
    <row r="162" spans="1:5" x14ac:dyDescent="0.35">
      <c r="A162">
        <v>161</v>
      </c>
      <c r="B162" t="s">
        <v>236</v>
      </c>
      <c r="C162" t="s">
        <v>854</v>
      </c>
      <c r="D162" t="s">
        <v>849</v>
      </c>
      <c r="E162" t="s">
        <v>855</v>
      </c>
    </row>
    <row r="163" spans="1:5" x14ac:dyDescent="0.35">
      <c r="A163">
        <v>162</v>
      </c>
      <c r="B163" t="s">
        <v>874</v>
      </c>
      <c r="C163" t="s">
        <v>854</v>
      </c>
      <c r="D163" t="s">
        <v>849</v>
      </c>
      <c r="E163" t="s">
        <v>855</v>
      </c>
    </row>
    <row r="164" spans="1:5" x14ac:dyDescent="0.35">
      <c r="A164">
        <v>163</v>
      </c>
      <c r="B164" t="s">
        <v>875</v>
      </c>
      <c r="C164" t="s">
        <v>854</v>
      </c>
      <c r="D164" t="s">
        <v>849</v>
      </c>
      <c r="E164" t="s">
        <v>855</v>
      </c>
    </row>
    <row r="165" spans="1:5" x14ac:dyDescent="0.35">
      <c r="A165">
        <v>164</v>
      </c>
      <c r="B165" t="s">
        <v>876</v>
      </c>
      <c r="C165" t="s">
        <v>854</v>
      </c>
      <c r="D165" t="s">
        <v>849</v>
      </c>
      <c r="E165" t="s">
        <v>855</v>
      </c>
    </row>
    <row r="166" spans="1:5" x14ac:dyDescent="0.35">
      <c r="A166">
        <v>165</v>
      </c>
      <c r="B166" t="s">
        <v>877</v>
      </c>
      <c r="C166" t="s">
        <v>854</v>
      </c>
      <c r="D166" t="s">
        <v>849</v>
      </c>
      <c r="E166" t="s">
        <v>855</v>
      </c>
    </row>
    <row r="167" spans="1:5" x14ac:dyDescent="0.35">
      <c r="A167">
        <v>166</v>
      </c>
      <c r="B167" t="s">
        <v>878</v>
      </c>
      <c r="C167" t="s">
        <v>854</v>
      </c>
      <c r="D167" t="s">
        <v>849</v>
      </c>
      <c r="E167" t="s">
        <v>855</v>
      </c>
    </row>
    <row r="168" spans="1:5" x14ac:dyDescent="0.35">
      <c r="A168">
        <v>167</v>
      </c>
      <c r="B168" t="s">
        <v>879</v>
      </c>
      <c r="C168" t="s">
        <v>854</v>
      </c>
      <c r="D168" t="s">
        <v>849</v>
      </c>
      <c r="E168" t="s">
        <v>855</v>
      </c>
    </row>
    <row r="169" spans="1:5" x14ac:dyDescent="0.35">
      <c r="A169">
        <v>168</v>
      </c>
      <c r="B169" t="s">
        <v>880</v>
      </c>
      <c r="C169" t="s">
        <v>854</v>
      </c>
      <c r="D169" t="s">
        <v>849</v>
      </c>
      <c r="E169" t="s">
        <v>855</v>
      </c>
    </row>
    <row r="170" spans="1:5" x14ac:dyDescent="0.35">
      <c r="A170">
        <v>169</v>
      </c>
      <c r="B170" t="s">
        <v>85</v>
      </c>
      <c r="C170" t="s">
        <v>854</v>
      </c>
      <c r="D170" t="s">
        <v>849</v>
      </c>
      <c r="E170" t="s">
        <v>855</v>
      </c>
    </row>
    <row r="171" spans="1:5" x14ac:dyDescent="0.35">
      <c r="A171">
        <v>170</v>
      </c>
      <c r="B171" t="s">
        <v>881</v>
      </c>
      <c r="C171" t="s">
        <v>854</v>
      </c>
      <c r="D171" t="s">
        <v>849</v>
      </c>
      <c r="E171" t="s">
        <v>855</v>
      </c>
    </row>
    <row r="172" spans="1:5" x14ac:dyDescent="0.35">
      <c r="A172">
        <v>171</v>
      </c>
      <c r="B172" t="s">
        <v>1022</v>
      </c>
      <c r="C172" t="s">
        <v>1064</v>
      </c>
      <c r="D172" t="s">
        <v>1067</v>
      </c>
      <c r="E172" t="s">
        <v>601</v>
      </c>
    </row>
    <row r="173" spans="1:5" x14ac:dyDescent="0.35">
      <c r="A173">
        <v>172</v>
      </c>
      <c r="B173" t="s">
        <v>1023</v>
      </c>
      <c r="C173" t="s">
        <v>1065</v>
      </c>
      <c r="D173" t="s">
        <v>1067</v>
      </c>
      <c r="E173" t="s">
        <v>601</v>
      </c>
    </row>
    <row r="174" spans="1:5" x14ac:dyDescent="0.35">
      <c r="A174">
        <v>173</v>
      </c>
      <c r="B174" t="s">
        <v>1024</v>
      </c>
      <c r="C174" t="s">
        <v>1065</v>
      </c>
      <c r="D174" t="s">
        <v>1067</v>
      </c>
      <c r="E174" t="s">
        <v>601</v>
      </c>
    </row>
    <row r="175" spans="1:5" x14ac:dyDescent="0.35">
      <c r="A175">
        <v>174</v>
      </c>
      <c r="B175" t="s">
        <v>287</v>
      </c>
      <c r="C175" t="s">
        <v>1065</v>
      </c>
      <c r="D175" t="s">
        <v>1067</v>
      </c>
      <c r="E175" t="s">
        <v>601</v>
      </c>
    </row>
    <row r="176" spans="1:5" x14ac:dyDescent="0.35">
      <c r="A176">
        <v>175</v>
      </c>
      <c r="B176" t="s">
        <v>1025</v>
      </c>
      <c r="C176" t="s">
        <v>1065</v>
      </c>
      <c r="D176" t="s">
        <v>1067</v>
      </c>
      <c r="E176" t="s">
        <v>601</v>
      </c>
    </row>
    <row r="177" spans="1:5" x14ac:dyDescent="0.35">
      <c r="A177">
        <v>176</v>
      </c>
      <c r="B177" t="s">
        <v>738</v>
      </c>
      <c r="C177" t="s">
        <v>1065</v>
      </c>
      <c r="D177" t="s">
        <v>1067</v>
      </c>
      <c r="E177" t="s">
        <v>601</v>
      </c>
    </row>
    <row r="178" spans="1:5" x14ac:dyDescent="0.35">
      <c r="A178">
        <v>177</v>
      </c>
      <c r="B178" t="s">
        <v>1026</v>
      </c>
      <c r="C178" t="s">
        <v>1065</v>
      </c>
      <c r="D178" t="s">
        <v>1067</v>
      </c>
      <c r="E178" t="s">
        <v>601</v>
      </c>
    </row>
    <row r="179" spans="1:5" x14ac:dyDescent="0.35">
      <c r="A179">
        <v>178</v>
      </c>
      <c r="B179" t="s">
        <v>310</v>
      </c>
      <c r="C179" t="s">
        <v>1065</v>
      </c>
      <c r="D179" t="s">
        <v>1067</v>
      </c>
      <c r="E179" t="s">
        <v>601</v>
      </c>
    </row>
    <row r="180" spans="1:5" x14ac:dyDescent="0.35">
      <c r="A180">
        <v>179</v>
      </c>
      <c r="B180" t="s">
        <v>1027</v>
      </c>
      <c r="C180" t="s">
        <v>1065</v>
      </c>
      <c r="D180" t="s">
        <v>1067</v>
      </c>
      <c r="E180" t="s">
        <v>601</v>
      </c>
    </row>
    <row r="181" spans="1:5" x14ac:dyDescent="0.35">
      <c r="A181">
        <v>180</v>
      </c>
      <c r="B181" t="s">
        <v>1028</v>
      </c>
      <c r="C181" t="s">
        <v>1065</v>
      </c>
      <c r="D181" t="s">
        <v>1067</v>
      </c>
      <c r="E181" t="s">
        <v>601</v>
      </c>
    </row>
    <row r="182" spans="1:5" x14ac:dyDescent="0.35">
      <c r="A182">
        <v>181</v>
      </c>
      <c r="B182" t="s">
        <v>1029</v>
      </c>
      <c r="C182" t="s">
        <v>1065</v>
      </c>
      <c r="D182" t="s">
        <v>1067</v>
      </c>
      <c r="E182" t="s">
        <v>601</v>
      </c>
    </row>
    <row r="183" spans="1:5" x14ac:dyDescent="0.35">
      <c r="A183">
        <v>182</v>
      </c>
      <c r="B183" t="s">
        <v>1030</v>
      </c>
      <c r="C183" t="s">
        <v>1065</v>
      </c>
      <c r="D183" t="s">
        <v>1067</v>
      </c>
      <c r="E183" t="s">
        <v>601</v>
      </c>
    </row>
    <row r="184" spans="1:5" x14ac:dyDescent="0.35">
      <c r="A184">
        <v>183</v>
      </c>
      <c r="B184" t="s">
        <v>223</v>
      </c>
      <c r="C184" t="s">
        <v>1065</v>
      </c>
      <c r="D184" t="s">
        <v>1067</v>
      </c>
      <c r="E184" t="s">
        <v>601</v>
      </c>
    </row>
    <row r="185" spans="1:5" x14ac:dyDescent="0.35">
      <c r="A185">
        <v>184</v>
      </c>
      <c r="B185" t="s">
        <v>1031</v>
      </c>
      <c r="C185" t="s">
        <v>1065</v>
      </c>
      <c r="D185" t="s">
        <v>1067</v>
      </c>
      <c r="E185" t="s">
        <v>601</v>
      </c>
    </row>
    <row r="186" spans="1:5" x14ac:dyDescent="0.35">
      <c r="A186">
        <v>185</v>
      </c>
      <c r="B186" t="s">
        <v>1032</v>
      </c>
      <c r="C186" t="s">
        <v>1065</v>
      </c>
      <c r="D186" t="s">
        <v>1067</v>
      </c>
      <c r="E186" t="s">
        <v>601</v>
      </c>
    </row>
    <row r="187" spans="1:5" x14ac:dyDescent="0.35">
      <c r="A187">
        <v>186</v>
      </c>
      <c r="B187" t="s">
        <v>1033</v>
      </c>
      <c r="C187" t="s">
        <v>1065</v>
      </c>
      <c r="D187" t="s">
        <v>1067</v>
      </c>
      <c r="E187" t="s">
        <v>601</v>
      </c>
    </row>
    <row r="188" spans="1:5" x14ac:dyDescent="0.35">
      <c r="A188">
        <v>187</v>
      </c>
      <c r="B188" t="s">
        <v>823</v>
      </c>
      <c r="C188" t="s">
        <v>1065</v>
      </c>
      <c r="D188" t="s">
        <v>1067</v>
      </c>
      <c r="E188" t="s">
        <v>601</v>
      </c>
    </row>
    <row r="189" spans="1:5" x14ac:dyDescent="0.35">
      <c r="A189">
        <v>188</v>
      </c>
      <c r="B189" t="s">
        <v>963</v>
      </c>
      <c r="C189" t="s">
        <v>1065</v>
      </c>
      <c r="D189" t="s">
        <v>1067</v>
      </c>
      <c r="E189" t="s">
        <v>601</v>
      </c>
    </row>
    <row r="190" spans="1:5" x14ac:dyDescent="0.35">
      <c r="A190">
        <v>189</v>
      </c>
      <c r="B190" t="s">
        <v>1034</v>
      </c>
      <c r="C190" t="s">
        <v>1065</v>
      </c>
      <c r="D190" t="s">
        <v>1067</v>
      </c>
      <c r="E190" t="s">
        <v>601</v>
      </c>
    </row>
    <row r="191" spans="1:5" x14ac:dyDescent="0.35">
      <c r="A191">
        <v>190</v>
      </c>
      <c r="B191" t="s">
        <v>1035</v>
      </c>
      <c r="C191" t="s">
        <v>1065</v>
      </c>
      <c r="D191" t="s">
        <v>1067</v>
      </c>
      <c r="E191" t="s">
        <v>601</v>
      </c>
    </row>
    <row r="192" spans="1:5" x14ac:dyDescent="0.35">
      <c r="A192">
        <v>191</v>
      </c>
      <c r="B192" t="s">
        <v>1036</v>
      </c>
      <c r="C192" t="s">
        <v>1065</v>
      </c>
      <c r="D192" t="s">
        <v>1067</v>
      </c>
      <c r="E192" t="s">
        <v>601</v>
      </c>
    </row>
    <row r="193" spans="1:5" x14ac:dyDescent="0.35">
      <c r="A193">
        <v>192</v>
      </c>
      <c r="B193" t="s">
        <v>1037</v>
      </c>
      <c r="C193" t="s">
        <v>1065</v>
      </c>
      <c r="D193" t="s">
        <v>1067</v>
      </c>
      <c r="E193" t="s">
        <v>601</v>
      </c>
    </row>
    <row r="194" spans="1:5" x14ac:dyDescent="0.35">
      <c r="A194">
        <v>193</v>
      </c>
      <c r="B194" t="s">
        <v>1038</v>
      </c>
      <c r="C194" t="s">
        <v>91</v>
      </c>
      <c r="D194" t="s">
        <v>1067</v>
      </c>
      <c r="E194" t="s">
        <v>601</v>
      </c>
    </row>
    <row r="195" spans="1:5" x14ac:dyDescent="0.35">
      <c r="A195">
        <v>194</v>
      </c>
      <c r="B195" t="s">
        <v>1039</v>
      </c>
      <c r="C195" t="s">
        <v>91</v>
      </c>
      <c r="D195" t="s">
        <v>1067</v>
      </c>
      <c r="E195" t="s">
        <v>601</v>
      </c>
    </row>
    <row r="196" spans="1:5" x14ac:dyDescent="0.35">
      <c r="A196">
        <v>195</v>
      </c>
      <c r="B196" t="s">
        <v>1040</v>
      </c>
      <c r="C196" t="s">
        <v>91</v>
      </c>
      <c r="D196" t="s">
        <v>1067</v>
      </c>
      <c r="E196" t="s">
        <v>601</v>
      </c>
    </row>
    <row r="197" spans="1:5" x14ac:dyDescent="0.35">
      <c r="A197">
        <v>196</v>
      </c>
      <c r="B197" t="s">
        <v>1041</v>
      </c>
      <c r="C197" t="s">
        <v>91</v>
      </c>
      <c r="D197" t="s">
        <v>1067</v>
      </c>
      <c r="E197" t="s">
        <v>601</v>
      </c>
    </row>
    <row r="198" spans="1:5" x14ac:dyDescent="0.35">
      <c r="A198">
        <v>197</v>
      </c>
      <c r="B198" t="s">
        <v>1042</v>
      </c>
      <c r="C198" t="s">
        <v>91</v>
      </c>
      <c r="D198" t="s">
        <v>1067</v>
      </c>
      <c r="E198" t="s">
        <v>601</v>
      </c>
    </row>
    <row r="199" spans="1:5" x14ac:dyDescent="0.35">
      <c r="A199">
        <v>198</v>
      </c>
      <c r="B199" t="s">
        <v>1043</v>
      </c>
      <c r="C199" t="s">
        <v>91</v>
      </c>
      <c r="D199" t="s">
        <v>1067</v>
      </c>
      <c r="E199" t="s">
        <v>601</v>
      </c>
    </row>
    <row r="200" spans="1:5" x14ac:dyDescent="0.35">
      <c r="A200">
        <v>199</v>
      </c>
      <c r="B200" t="s">
        <v>1044</v>
      </c>
      <c r="C200" t="s">
        <v>91</v>
      </c>
      <c r="D200" t="s">
        <v>1067</v>
      </c>
      <c r="E200" t="s">
        <v>601</v>
      </c>
    </row>
    <row r="201" spans="1:5" x14ac:dyDescent="0.35">
      <c r="A201">
        <v>200</v>
      </c>
      <c r="B201" t="s">
        <v>1045</v>
      </c>
      <c r="C201" t="s">
        <v>91</v>
      </c>
      <c r="D201" t="s">
        <v>1067</v>
      </c>
      <c r="E201" t="s">
        <v>601</v>
      </c>
    </row>
    <row r="202" spans="1:5" x14ac:dyDescent="0.35">
      <c r="A202">
        <v>201</v>
      </c>
      <c r="B202" t="s">
        <v>1046</v>
      </c>
      <c r="C202" t="s">
        <v>437</v>
      </c>
      <c r="D202" t="s">
        <v>1067</v>
      </c>
      <c r="E202" t="s">
        <v>601</v>
      </c>
    </row>
    <row r="203" spans="1:5" x14ac:dyDescent="0.35">
      <c r="A203">
        <v>202</v>
      </c>
      <c r="B203" t="s">
        <v>1047</v>
      </c>
      <c r="C203" t="s">
        <v>437</v>
      </c>
      <c r="D203" t="s">
        <v>1067</v>
      </c>
      <c r="E203" t="s">
        <v>601</v>
      </c>
    </row>
    <row r="204" spans="1:5" x14ac:dyDescent="0.35">
      <c r="A204">
        <v>203</v>
      </c>
      <c r="B204" t="s">
        <v>1048</v>
      </c>
      <c r="C204" t="s">
        <v>437</v>
      </c>
      <c r="D204" t="s">
        <v>1067</v>
      </c>
      <c r="E204" t="s">
        <v>601</v>
      </c>
    </row>
    <row r="205" spans="1:5" x14ac:dyDescent="0.35">
      <c r="A205">
        <v>204</v>
      </c>
      <c r="B205" t="s">
        <v>1049</v>
      </c>
      <c r="C205" t="s">
        <v>437</v>
      </c>
      <c r="D205" t="s">
        <v>1067</v>
      </c>
      <c r="E205" t="s">
        <v>601</v>
      </c>
    </row>
    <row r="206" spans="1:5" x14ac:dyDescent="0.35">
      <c r="A206">
        <v>205</v>
      </c>
      <c r="B206" t="s">
        <v>1050</v>
      </c>
      <c r="C206" t="s">
        <v>437</v>
      </c>
      <c r="D206" t="s">
        <v>1067</v>
      </c>
      <c r="E206" t="s">
        <v>601</v>
      </c>
    </row>
    <row r="207" spans="1:5" x14ac:dyDescent="0.35">
      <c r="A207">
        <v>206</v>
      </c>
      <c r="B207" t="s">
        <v>1051</v>
      </c>
      <c r="C207" t="s">
        <v>437</v>
      </c>
      <c r="D207" t="s">
        <v>1067</v>
      </c>
      <c r="E207" t="s">
        <v>601</v>
      </c>
    </row>
    <row r="208" spans="1:5" x14ac:dyDescent="0.35">
      <c r="A208">
        <v>207</v>
      </c>
      <c r="B208" t="s">
        <v>1052</v>
      </c>
      <c r="C208" t="s">
        <v>437</v>
      </c>
      <c r="D208" t="s">
        <v>1067</v>
      </c>
      <c r="E208" t="s">
        <v>601</v>
      </c>
    </row>
    <row r="209" spans="1:5" x14ac:dyDescent="0.35">
      <c r="A209">
        <v>208</v>
      </c>
      <c r="B209" t="s">
        <v>1053</v>
      </c>
      <c r="C209" t="s">
        <v>437</v>
      </c>
      <c r="D209" t="s">
        <v>1067</v>
      </c>
      <c r="E209" t="s">
        <v>601</v>
      </c>
    </row>
    <row r="210" spans="1:5" x14ac:dyDescent="0.35">
      <c r="A210">
        <v>209</v>
      </c>
      <c r="B210" t="s">
        <v>1054</v>
      </c>
      <c r="C210" t="s">
        <v>1066</v>
      </c>
      <c r="D210" t="s">
        <v>1067</v>
      </c>
      <c r="E210" t="s">
        <v>601</v>
      </c>
    </row>
    <row r="211" spans="1:5" x14ac:dyDescent="0.35">
      <c r="A211">
        <v>210</v>
      </c>
      <c r="B211" t="s">
        <v>1055</v>
      </c>
      <c r="C211" t="s">
        <v>1066</v>
      </c>
      <c r="D211" t="s">
        <v>1067</v>
      </c>
      <c r="E211" t="s">
        <v>601</v>
      </c>
    </row>
    <row r="212" spans="1:5" x14ac:dyDescent="0.35">
      <c r="A212">
        <v>211</v>
      </c>
      <c r="B212" t="s">
        <v>1056</v>
      </c>
      <c r="C212" t="s">
        <v>1066</v>
      </c>
      <c r="D212" t="s">
        <v>1067</v>
      </c>
      <c r="E212" t="s">
        <v>601</v>
      </c>
    </row>
    <row r="213" spans="1:5" x14ac:dyDescent="0.35">
      <c r="A213">
        <v>212</v>
      </c>
      <c r="B213" t="s">
        <v>1057</v>
      </c>
      <c r="C213" t="s">
        <v>1066</v>
      </c>
      <c r="D213" t="s">
        <v>1067</v>
      </c>
      <c r="E213" t="s">
        <v>601</v>
      </c>
    </row>
    <row r="214" spans="1:5" x14ac:dyDescent="0.35">
      <c r="A214">
        <v>213</v>
      </c>
      <c r="B214" t="s">
        <v>1058</v>
      </c>
      <c r="C214" t="s">
        <v>1066</v>
      </c>
      <c r="D214" t="s">
        <v>1067</v>
      </c>
      <c r="E214" t="s">
        <v>601</v>
      </c>
    </row>
    <row r="215" spans="1:5" x14ac:dyDescent="0.35">
      <c r="A215">
        <v>214</v>
      </c>
      <c r="B215" t="s">
        <v>624</v>
      </c>
      <c r="C215" t="s">
        <v>1066</v>
      </c>
      <c r="D215" t="s">
        <v>1067</v>
      </c>
      <c r="E215" t="s">
        <v>601</v>
      </c>
    </row>
    <row r="216" spans="1:5" x14ac:dyDescent="0.35">
      <c r="A216">
        <v>215</v>
      </c>
      <c r="B216" t="s">
        <v>1059</v>
      </c>
      <c r="C216" t="s">
        <v>1066</v>
      </c>
      <c r="D216" t="s">
        <v>1067</v>
      </c>
      <c r="E216" t="s">
        <v>601</v>
      </c>
    </row>
    <row r="217" spans="1:5" x14ac:dyDescent="0.35">
      <c r="A217">
        <v>216</v>
      </c>
      <c r="B217" t="s">
        <v>1060</v>
      </c>
      <c r="C217" t="s">
        <v>1066</v>
      </c>
      <c r="D217" t="s">
        <v>1067</v>
      </c>
      <c r="E217" t="s">
        <v>601</v>
      </c>
    </row>
    <row r="218" spans="1:5" x14ac:dyDescent="0.35">
      <c r="A218">
        <v>217</v>
      </c>
      <c r="B218" t="s">
        <v>444</v>
      </c>
      <c r="C218" t="s">
        <v>1066</v>
      </c>
      <c r="D218" t="s">
        <v>1067</v>
      </c>
      <c r="E218" t="s">
        <v>601</v>
      </c>
    </row>
    <row r="219" spans="1:5" x14ac:dyDescent="0.35">
      <c r="A219">
        <v>218</v>
      </c>
      <c r="B219" t="s">
        <v>1061</v>
      </c>
      <c r="C219" t="s">
        <v>1066</v>
      </c>
      <c r="D219" t="s">
        <v>1067</v>
      </c>
      <c r="E219" t="s">
        <v>601</v>
      </c>
    </row>
    <row r="220" spans="1:5" x14ac:dyDescent="0.35">
      <c r="A220">
        <v>219</v>
      </c>
      <c r="B220" t="s">
        <v>1062</v>
      </c>
      <c r="C220" t="s">
        <v>1066</v>
      </c>
      <c r="D220" t="s">
        <v>1067</v>
      </c>
      <c r="E220" t="s">
        <v>601</v>
      </c>
    </row>
    <row r="221" spans="1:5" x14ac:dyDescent="0.35">
      <c r="A221">
        <v>220</v>
      </c>
      <c r="B221" t="s">
        <v>1063</v>
      </c>
      <c r="C221" t="s">
        <v>1066</v>
      </c>
      <c r="D221" t="s">
        <v>1067</v>
      </c>
      <c r="E221" t="s">
        <v>601</v>
      </c>
    </row>
  </sheetData>
  <autoFilter ref="A1:E221" xr:uid="{7C37C255-B5CC-4038-B9EB-BAC22CD115AA}"/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CEE3-8646-4BF8-A9AC-6B75B82DBB87}">
  <dimension ref="A2:AU27"/>
  <sheetViews>
    <sheetView topLeftCell="F1" zoomScale="85" zoomScaleNormal="85" workbookViewId="0">
      <pane ySplit="2" topLeftCell="A10" activePane="bottomLeft" state="frozen"/>
      <selection pane="bottomLeft" activeCell="M15" sqref="M15"/>
    </sheetView>
  </sheetViews>
  <sheetFormatPr defaultColWidth="0" defaultRowHeight="14.5" x14ac:dyDescent="0.35"/>
  <cols>
    <col min="1" max="1" width="8.7265625" customWidth="1"/>
    <col min="2" max="2" width="20.54296875" bestFit="1" customWidth="1"/>
    <col min="3" max="4" width="20.54296875" customWidth="1"/>
    <col min="5" max="5" width="11.81640625" customWidth="1"/>
    <col min="6" max="7" width="13.81640625" customWidth="1"/>
    <col min="8" max="8" width="14.1796875" style="4" customWidth="1"/>
    <col min="9" max="9" width="14.54296875" style="4" customWidth="1"/>
    <col min="10" max="10" width="16.6328125" style="4" customWidth="1"/>
    <col min="11" max="11" width="13.54296875" style="4" customWidth="1"/>
    <col min="12" max="12" width="14.453125" style="4" customWidth="1"/>
    <col min="13" max="13" width="7.81640625" style="4" customWidth="1"/>
    <col min="14" max="15" width="8.7265625" customWidth="1"/>
    <col min="16" max="16" width="15.54296875" style="100" customWidth="1"/>
    <col min="17" max="17" width="13.1796875" bestFit="1" customWidth="1"/>
    <col min="18" max="18" width="13.1796875" customWidth="1"/>
    <col min="19" max="19" width="23.26953125" bestFit="1" customWidth="1"/>
    <col min="20" max="20" width="23.26953125" customWidth="1"/>
    <col min="21" max="21" width="66.7265625" customWidth="1"/>
    <col min="22" max="22" width="11.81640625" customWidth="1"/>
    <col min="23" max="23" width="14.453125" customWidth="1"/>
    <col min="24" max="47" width="0" hidden="1" customWidth="1"/>
    <col min="48" max="16384" width="8.7265625" hidden="1"/>
  </cols>
  <sheetData>
    <row r="2" spans="1:23" ht="77.5" customHeight="1" x14ac:dyDescent="0.35">
      <c r="B2" s="70" t="s">
        <v>98</v>
      </c>
      <c r="C2" s="70" t="s">
        <v>402</v>
      </c>
      <c r="D2" s="70" t="s">
        <v>596</v>
      </c>
      <c r="E2" s="71" t="s">
        <v>1</v>
      </c>
      <c r="F2" s="71" t="s">
        <v>2</v>
      </c>
      <c r="G2" s="71" t="s">
        <v>44</v>
      </c>
      <c r="H2" s="72" t="s">
        <v>3</v>
      </c>
      <c r="I2" s="72" t="s">
        <v>4</v>
      </c>
      <c r="J2" s="72" t="s">
        <v>5</v>
      </c>
      <c r="K2" s="72" t="s">
        <v>6</v>
      </c>
      <c r="L2" s="72" t="s">
        <v>7</v>
      </c>
      <c r="M2" s="72" t="s">
        <v>100</v>
      </c>
      <c r="N2" s="50"/>
      <c r="O2" s="50"/>
      <c r="P2" s="72" t="s">
        <v>151</v>
      </c>
      <c r="Q2" s="70" t="s">
        <v>420</v>
      </c>
      <c r="R2" s="70" t="s">
        <v>494</v>
      </c>
      <c r="S2" s="68" t="s">
        <v>493</v>
      </c>
      <c r="T2" s="68" t="s">
        <v>490</v>
      </c>
      <c r="U2" s="39">
        <f ca="1">NOW()</f>
        <v>46304.559300694447</v>
      </c>
    </row>
    <row r="3" spans="1:23" x14ac:dyDescent="0.35">
      <c r="B3" s="58" t="s">
        <v>59</v>
      </c>
      <c r="C3" s="73" t="s">
        <v>101</v>
      </c>
      <c r="D3" s="108" t="s">
        <v>597</v>
      </c>
      <c r="E3" s="74">
        <f>COUNTA(Manggis!B3:B61)-1</f>
        <v>58</v>
      </c>
      <c r="F3" s="74">
        <f>Manggis!W65</f>
        <v>16</v>
      </c>
      <c r="G3" s="74">
        <f>Manggis!W66</f>
        <v>21</v>
      </c>
      <c r="H3" s="74">
        <f>Manggis!P63-1</f>
        <v>26</v>
      </c>
      <c r="I3" s="74">
        <f>Manggis!Q63-1</f>
        <v>31</v>
      </c>
      <c r="J3" s="74">
        <f>Manggis!R63-1</f>
        <v>36</v>
      </c>
      <c r="K3" s="74">
        <f>Manggis!S63</f>
        <v>18</v>
      </c>
      <c r="L3" s="74">
        <f>Manggis!T63-1</f>
        <v>28</v>
      </c>
      <c r="M3" s="74">
        <f>Manggis!U63-1</f>
        <v>34</v>
      </c>
      <c r="N3" s="50"/>
      <c r="O3" s="50" t="s">
        <v>59</v>
      </c>
      <c r="P3" s="104" t="s">
        <v>101</v>
      </c>
      <c r="Q3" s="58">
        <f>COUNTA('SRP Manggis Boyolali'!B3:B29)-3</f>
        <v>24</v>
      </c>
      <c r="R3" s="58">
        <v>8</v>
      </c>
      <c r="S3" s="1">
        <f>Q3-R3</f>
        <v>16</v>
      </c>
      <c r="T3" s="1">
        <f>S3+E3</f>
        <v>74</v>
      </c>
    </row>
    <row r="4" spans="1:23" x14ac:dyDescent="0.35">
      <c r="B4" s="58" t="s">
        <v>99</v>
      </c>
      <c r="C4" s="73" t="s">
        <v>121</v>
      </c>
      <c r="D4" s="108" t="s">
        <v>598</v>
      </c>
      <c r="E4" s="74">
        <f>COUNTA(Sukorejo!B3:B61)-4</f>
        <v>55</v>
      </c>
      <c r="F4" s="74">
        <f>Sukorejo!O68</f>
        <v>20</v>
      </c>
      <c r="G4" s="74">
        <f>Sukorejo!O69</f>
        <v>29</v>
      </c>
      <c r="H4" s="74">
        <f>Sukorejo!H66-Sukorejo!H67</f>
        <v>22</v>
      </c>
      <c r="I4" s="74">
        <f>Sukorejo!I66-Sukorejo!I67</f>
        <v>25</v>
      </c>
      <c r="J4" s="74">
        <f>Sukorejo!J66-Sukorejo!J67</f>
        <v>31</v>
      </c>
      <c r="K4" s="74">
        <f>Sukorejo!K66-Sukorejo!K67</f>
        <v>31</v>
      </c>
      <c r="L4" s="74">
        <f>Sukorejo!L66-Sukorejo!L67</f>
        <v>28</v>
      </c>
      <c r="M4" s="74">
        <f>Sukorejo!M66-Sukorejo!M67</f>
        <v>21</v>
      </c>
      <c r="N4" s="50"/>
      <c r="O4" s="50" t="s">
        <v>57</v>
      </c>
      <c r="P4" s="73" t="s">
        <v>405</v>
      </c>
      <c r="Q4" s="58">
        <f>COUNTA('SRP Bangak Boyolali '!B3:B37)-1</f>
        <v>34</v>
      </c>
      <c r="R4" s="58"/>
      <c r="S4" s="1">
        <f t="shared" ref="S4:S11" si="0">Q4-R4</f>
        <v>34</v>
      </c>
      <c r="T4" s="1">
        <f t="shared" ref="T4:T10" si="1">S4</f>
        <v>34</v>
      </c>
    </row>
    <row r="5" spans="1:23" x14ac:dyDescent="0.35">
      <c r="A5" t="s">
        <v>602</v>
      </c>
      <c r="B5" s="58" t="s">
        <v>99</v>
      </c>
      <c r="C5" s="73" t="s">
        <v>222</v>
      </c>
      <c r="D5" s="108" t="s">
        <v>599</v>
      </c>
      <c r="E5" s="74">
        <f>COUNTA(Kliwonan!B3:B45)</f>
        <v>32</v>
      </c>
      <c r="F5" s="74"/>
      <c r="G5" s="74"/>
      <c r="H5" s="74">
        <f>Kliwonan!H47</f>
        <v>19</v>
      </c>
      <c r="I5" s="74">
        <f>Kliwonan!I47</f>
        <v>28</v>
      </c>
      <c r="J5" s="74">
        <f>Kliwonan!J47</f>
        <v>0</v>
      </c>
      <c r="K5" s="74">
        <f>Kliwonan!K47</f>
        <v>0</v>
      </c>
      <c r="L5" s="74">
        <f>Kliwonan!L47</f>
        <v>0</v>
      </c>
      <c r="M5" s="74">
        <f>Kliwonan!M47</f>
        <v>0</v>
      </c>
      <c r="N5" s="50"/>
      <c r="O5" s="50"/>
      <c r="P5" s="73" t="s">
        <v>406</v>
      </c>
      <c r="Q5" s="58">
        <f>COUNTA('SRP Sumber Boyolali'!B3:B38)-1</f>
        <v>35</v>
      </c>
      <c r="R5" s="58"/>
      <c r="S5" s="1">
        <f t="shared" si="0"/>
        <v>35</v>
      </c>
      <c r="T5" s="1">
        <f t="shared" si="1"/>
        <v>35</v>
      </c>
    </row>
    <row r="6" spans="1:23" x14ac:dyDescent="0.35">
      <c r="A6" t="s">
        <v>602</v>
      </c>
      <c r="B6" s="58" t="s">
        <v>57</v>
      </c>
      <c r="C6" s="104" t="s">
        <v>419</v>
      </c>
      <c r="D6" s="109" t="s">
        <v>600</v>
      </c>
      <c r="E6" s="74">
        <f>COUNTA(Jotangan!B3:B66)</f>
        <v>50</v>
      </c>
      <c r="F6" s="74"/>
      <c r="G6" s="74"/>
      <c r="H6" s="74">
        <f>Jotangan!H67-Jotangan!H68</f>
        <v>28</v>
      </c>
      <c r="I6" s="74">
        <f>Jotangan!I67-Jotangan!I68</f>
        <v>27</v>
      </c>
      <c r="J6" s="74">
        <f>Jotangan!J67-Jotangan!J68</f>
        <v>22</v>
      </c>
      <c r="K6" s="74">
        <f>Jotangan!K67-Jotangan!K68</f>
        <v>23</v>
      </c>
      <c r="L6" s="74">
        <f>Jotangan!L67-Jotangan!L68</f>
        <v>25</v>
      </c>
      <c r="M6" s="74">
        <f>Jotangan!M67-Jotangan!M68</f>
        <v>28</v>
      </c>
      <c r="N6" s="50"/>
      <c r="O6" s="50" t="s">
        <v>99</v>
      </c>
      <c r="P6" s="73" t="s">
        <v>121</v>
      </c>
      <c r="Q6" s="58">
        <f>COUNTA('SRP Sukorejo Sragen'!B3:B36)-2</f>
        <v>32</v>
      </c>
      <c r="R6" s="58">
        <v>11</v>
      </c>
      <c r="S6" s="1">
        <f t="shared" si="0"/>
        <v>21</v>
      </c>
      <c r="T6" s="1">
        <f>S6+E4</f>
        <v>76</v>
      </c>
    </row>
    <row r="7" spans="1:23" x14ac:dyDescent="0.35">
      <c r="B7" s="58" t="s">
        <v>57</v>
      </c>
      <c r="C7" s="104" t="s">
        <v>428</v>
      </c>
      <c r="D7" s="109" t="s">
        <v>600</v>
      </c>
      <c r="E7" s="74">
        <f>COUNTA(Tawangrejo!B3:B32)-7</f>
        <v>23</v>
      </c>
      <c r="F7" s="74"/>
      <c r="G7" s="74"/>
      <c r="H7" s="74">
        <f>Tawangrejo!H49-Tawangrejo!H50</f>
        <v>23</v>
      </c>
      <c r="I7" s="74">
        <f>Tawangrejo!I49-Tawangrejo!I50</f>
        <v>11</v>
      </c>
      <c r="J7" s="74">
        <f>Tawangrejo!J49-Tawangrejo!J50</f>
        <v>15</v>
      </c>
      <c r="K7" s="74">
        <f>Tawangrejo!K49-Tawangrejo!K50</f>
        <v>0</v>
      </c>
      <c r="L7" s="74">
        <f>Tawangrejo!L49-Tawangrejo!L50</f>
        <v>0</v>
      </c>
      <c r="M7" s="74">
        <f>Tawangrejo!M49-Tawangrejo!M50</f>
        <v>0</v>
      </c>
      <c r="N7" s="50"/>
      <c r="O7" s="50" t="s">
        <v>99</v>
      </c>
      <c r="P7" s="73" t="s">
        <v>222</v>
      </c>
      <c r="Q7" s="75">
        <f>COUNTA('SRP Kliwonan Sragen'!B3:B37)-1</f>
        <v>34</v>
      </c>
      <c r="R7" s="75"/>
      <c r="S7" s="1">
        <f t="shared" si="0"/>
        <v>34</v>
      </c>
      <c r="T7" s="1">
        <f t="shared" si="1"/>
        <v>34</v>
      </c>
    </row>
    <row r="8" spans="1:23" ht="26" x14ac:dyDescent="0.6">
      <c r="B8" s="58" t="s">
        <v>56</v>
      </c>
      <c r="C8" s="73" t="s">
        <v>408</v>
      </c>
      <c r="D8" s="108" t="s">
        <v>408</v>
      </c>
      <c r="E8" s="74">
        <f>COUNTA(Geneng!B3:B42)</f>
        <v>35</v>
      </c>
      <c r="F8" s="74">
        <f>Geneng!N47</f>
        <v>18</v>
      </c>
      <c r="G8" s="74">
        <f>Geneng!N48</f>
        <v>23</v>
      </c>
      <c r="H8" s="76">
        <f>Geneng!H44-Geneng!H45</f>
        <v>24</v>
      </c>
      <c r="I8" s="76">
        <f>Geneng!I44-Geneng!I45</f>
        <v>30</v>
      </c>
      <c r="J8" s="76">
        <f>Geneng!J44-Geneng!J45</f>
        <v>23</v>
      </c>
      <c r="K8" s="76">
        <f>Geneng!K44-Geneng!K45</f>
        <v>22</v>
      </c>
      <c r="L8" s="76">
        <f>Geneng!L44-Geneng!L45</f>
        <v>24</v>
      </c>
      <c r="M8" s="76"/>
      <c r="N8" s="50"/>
      <c r="O8" s="50" t="s">
        <v>99</v>
      </c>
      <c r="P8" s="104" t="s">
        <v>403</v>
      </c>
      <c r="Q8" s="103">
        <f>COUNTA('SRP Karangmalang Sragen'!B3:B37)-2</f>
        <v>33</v>
      </c>
      <c r="R8" s="77"/>
      <c r="S8" s="1">
        <f t="shared" si="0"/>
        <v>33</v>
      </c>
      <c r="T8" s="1">
        <f t="shared" si="1"/>
        <v>33</v>
      </c>
    </row>
    <row r="9" spans="1:23" x14ac:dyDescent="0.35">
      <c r="B9" s="58" t="s">
        <v>55</v>
      </c>
      <c r="C9" s="104" t="s">
        <v>409</v>
      </c>
      <c r="D9" s="108" t="s">
        <v>601</v>
      </c>
      <c r="E9" s="74">
        <f>COUNTA(Klumutan!B3:B72)-3</f>
        <v>63</v>
      </c>
      <c r="F9" s="74"/>
      <c r="G9" s="74"/>
      <c r="H9" s="74">
        <f>Klumutan!H73-Klumutan!H74</f>
        <v>22</v>
      </c>
      <c r="I9" s="74">
        <f>Klumutan!I73-Klumutan!I74</f>
        <v>25</v>
      </c>
      <c r="J9" s="74">
        <f>Klumutan!J73-Klumutan!J74</f>
        <v>25</v>
      </c>
      <c r="K9" s="74">
        <f>Klumutan!K73-Klumutan!K74</f>
        <v>22</v>
      </c>
      <c r="L9" s="74">
        <f>Klumutan!L73-Klumutan!L74</f>
        <v>18</v>
      </c>
      <c r="M9" s="74">
        <f>Klumutan!M73-Klumutan!M74</f>
        <v>37</v>
      </c>
      <c r="N9" s="50"/>
      <c r="O9" s="50" t="s">
        <v>57</v>
      </c>
      <c r="P9" s="73" t="s">
        <v>407</v>
      </c>
      <c r="Q9" s="58">
        <f>COUNTA('SRP Jotangan Boyolali'!B3:B35)</f>
        <v>33</v>
      </c>
      <c r="R9" s="58">
        <v>22</v>
      </c>
      <c r="S9" s="1">
        <f t="shared" si="0"/>
        <v>11</v>
      </c>
      <c r="T9" s="1">
        <f>S9+E6</f>
        <v>61</v>
      </c>
    </row>
    <row r="10" spans="1:23" s="26" customFormat="1" ht="26" x14ac:dyDescent="0.6">
      <c r="B10" s="78" t="s">
        <v>8</v>
      </c>
      <c r="C10" s="78"/>
      <c r="D10" s="78"/>
      <c r="E10" s="79">
        <f t="shared" ref="E10:M10" si="2">SUM(E3:E9)</f>
        <v>316</v>
      </c>
      <c r="F10" s="79">
        <f t="shared" si="2"/>
        <v>54</v>
      </c>
      <c r="G10" s="79">
        <f t="shared" si="2"/>
        <v>73</v>
      </c>
      <c r="H10" s="79">
        <f t="shared" si="2"/>
        <v>164</v>
      </c>
      <c r="I10" s="79">
        <f t="shared" si="2"/>
        <v>177</v>
      </c>
      <c r="J10" s="79">
        <f t="shared" si="2"/>
        <v>152</v>
      </c>
      <c r="K10" s="79">
        <f t="shared" si="2"/>
        <v>116</v>
      </c>
      <c r="L10" s="79">
        <f t="shared" si="2"/>
        <v>123</v>
      </c>
      <c r="M10" s="79">
        <f t="shared" si="2"/>
        <v>120</v>
      </c>
      <c r="N10" s="80">
        <f>SUM(H10:M10)</f>
        <v>852</v>
      </c>
      <c r="O10" s="50" t="s">
        <v>56</v>
      </c>
      <c r="P10" s="104" t="s">
        <v>408</v>
      </c>
      <c r="Q10" s="103">
        <f>COUNTA('SRP Geneng Ngawi'!B3:B34)</f>
        <v>32</v>
      </c>
      <c r="R10" s="70"/>
      <c r="S10" s="1">
        <f t="shared" si="0"/>
        <v>32</v>
      </c>
      <c r="T10" s="1">
        <f t="shared" si="1"/>
        <v>32</v>
      </c>
      <c r="W10" s="27"/>
    </row>
    <row r="11" spans="1:23" x14ac:dyDescent="0.35">
      <c r="B11" s="53"/>
      <c r="C11" s="56"/>
      <c r="D11" s="56"/>
      <c r="E11" s="54"/>
      <c r="F11" s="55"/>
      <c r="G11" s="55"/>
      <c r="H11" s="54"/>
      <c r="I11" s="54"/>
      <c r="J11" s="54"/>
      <c r="K11" s="54"/>
      <c r="L11" s="54"/>
      <c r="M11" s="54"/>
      <c r="N11" s="81"/>
      <c r="O11" s="131" t="s">
        <v>55</v>
      </c>
      <c r="P11" s="73" t="s">
        <v>409</v>
      </c>
      <c r="Q11" s="58">
        <f>COUNTA('SRP Klumutan Madiun'!B3:B29)-1</f>
        <v>26</v>
      </c>
      <c r="R11" s="58">
        <v>12</v>
      </c>
      <c r="S11" s="1">
        <f t="shared" si="0"/>
        <v>14</v>
      </c>
      <c r="T11" s="1">
        <f>S11+E9</f>
        <v>77</v>
      </c>
    </row>
    <row r="12" spans="1:23" ht="26" x14ac:dyDescent="0.6">
      <c r="B12" s="53"/>
      <c r="C12" s="56"/>
      <c r="D12" s="56"/>
      <c r="E12" s="56"/>
      <c r="F12" s="56"/>
      <c r="G12" s="56"/>
      <c r="H12" s="54"/>
      <c r="I12" s="54"/>
      <c r="J12" s="54"/>
      <c r="K12" s="54"/>
      <c r="L12" s="54"/>
      <c r="M12" s="54"/>
      <c r="N12" s="16"/>
      <c r="O12" s="132" t="s">
        <v>57</v>
      </c>
      <c r="P12" s="114" t="s">
        <v>640</v>
      </c>
      <c r="Q12" s="1"/>
      <c r="R12" s="1"/>
      <c r="S12" s="1">
        <f>COUNTA('SRP Pogung Klaten'!B3:B35)-1</f>
        <v>32</v>
      </c>
      <c r="T12" s="1">
        <f>S12</f>
        <v>32</v>
      </c>
      <c r="U12" s="26"/>
      <c r="V12" s="26"/>
    </row>
    <row r="13" spans="1:23" ht="26" x14ac:dyDescent="0.6">
      <c r="B13" s="58"/>
      <c r="C13" s="58"/>
      <c r="D13" s="58"/>
      <c r="E13" s="58"/>
      <c r="F13" s="105" t="s">
        <v>101</v>
      </c>
      <c r="G13" s="105" t="s">
        <v>409</v>
      </c>
      <c r="H13" s="105" t="s">
        <v>419</v>
      </c>
      <c r="I13" s="105" t="s">
        <v>121</v>
      </c>
      <c r="J13" s="105" t="s">
        <v>222</v>
      </c>
      <c r="K13" s="105" t="s">
        <v>428</v>
      </c>
      <c r="L13" s="105" t="s">
        <v>408</v>
      </c>
      <c r="M13" s="51"/>
      <c r="O13" s="50" t="s">
        <v>59</v>
      </c>
      <c r="P13" s="122" t="s">
        <v>679</v>
      </c>
      <c r="Q13" s="1"/>
      <c r="R13" s="1"/>
      <c r="S13" s="1">
        <f>'SRP Mojo Boyolali'!D42</f>
        <v>33</v>
      </c>
      <c r="T13" s="1">
        <f>S13</f>
        <v>33</v>
      </c>
      <c r="U13" s="26"/>
      <c r="V13" s="26"/>
      <c r="W13" s="25"/>
    </row>
    <row r="14" spans="1:23" ht="26" x14ac:dyDescent="0.6">
      <c r="B14" s="58" t="s">
        <v>180</v>
      </c>
      <c r="C14" s="58"/>
      <c r="D14" s="58"/>
      <c r="E14" s="58" t="s">
        <v>181</v>
      </c>
      <c r="F14" s="58">
        <f>Manggis!F67</f>
        <v>2</v>
      </c>
      <c r="G14" s="58">
        <f>Klumutan!E76</f>
        <v>3</v>
      </c>
      <c r="H14" s="59">
        <f>Jotangan!E69</f>
        <v>0</v>
      </c>
      <c r="I14" s="59">
        <f>Sukorejo!E68</f>
        <v>1</v>
      </c>
      <c r="J14" s="59">
        <f>Kliwonan!E49</f>
        <v>1</v>
      </c>
      <c r="K14" s="51">
        <f>Tawangrejo!D51</f>
        <v>0</v>
      </c>
      <c r="L14" s="51">
        <f>Geneng!D47</f>
        <v>0</v>
      </c>
      <c r="M14" s="51"/>
      <c r="O14" s="50" t="s">
        <v>57</v>
      </c>
      <c r="P14" s="123" t="s">
        <v>755</v>
      </c>
      <c r="Q14" s="1"/>
      <c r="R14" s="1"/>
      <c r="S14" s="1">
        <f>'SRP Bahat Klaten'!D48</f>
        <v>37</v>
      </c>
      <c r="T14" s="1">
        <f>S14</f>
        <v>37</v>
      </c>
      <c r="U14" s="26"/>
      <c r="V14" s="26"/>
    </row>
    <row r="15" spans="1:23" ht="26" x14ac:dyDescent="0.6">
      <c r="B15" s="58"/>
      <c r="C15" s="58"/>
      <c r="D15" s="58"/>
      <c r="E15" s="58" t="s">
        <v>182</v>
      </c>
      <c r="F15" s="58">
        <f>Manggis!F68</f>
        <v>0</v>
      </c>
      <c r="G15" s="58">
        <f>Klumutan!E77</f>
        <v>4</v>
      </c>
      <c r="H15" s="59">
        <f>Jotangan!E70</f>
        <v>1</v>
      </c>
      <c r="I15" s="59">
        <f>Sukorejo!E69</f>
        <v>0</v>
      </c>
      <c r="J15" s="59">
        <f>Kliwonan!E50</f>
        <v>0</v>
      </c>
      <c r="K15" s="51">
        <f>Tawangrejo!D52</f>
        <v>0</v>
      </c>
      <c r="L15" s="51">
        <f>Geneng!D48</f>
        <v>0</v>
      </c>
      <c r="M15" s="51"/>
      <c r="O15" t="s">
        <v>57</v>
      </c>
      <c r="P15" s="124" t="s">
        <v>428</v>
      </c>
      <c r="Q15" s="1"/>
      <c r="R15" s="1"/>
      <c r="S15" s="1">
        <f>COUNTA('SRP Tawangrejo'!B3:B43)</f>
        <v>41</v>
      </c>
      <c r="T15" s="1">
        <f t="shared" ref="T15:T16" si="3">S15</f>
        <v>41</v>
      </c>
      <c r="U15" s="26"/>
      <c r="V15" s="26"/>
    </row>
    <row r="16" spans="1:23" ht="26" x14ac:dyDescent="0.6">
      <c r="B16" s="58" t="s">
        <v>183</v>
      </c>
      <c r="C16" s="58"/>
      <c r="D16" s="58"/>
      <c r="E16" s="58" t="s">
        <v>181</v>
      </c>
      <c r="F16" s="58">
        <f>Manggis!F69</f>
        <v>36</v>
      </c>
      <c r="G16" s="58">
        <f>Klumutan!E78</f>
        <v>48</v>
      </c>
      <c r="H16" s="59">
        <f>Jotangan!E71</f>
        <v>39</v>
      </c>
      <c r="I16" s="59">
        <f>Sukorejo!E70</f>
        <v>39</v>
      </c>
      <c r="J16" s="59">
        <f>Kliwonan!E51</f>
        <v>22</v>
      </c>
      <c r="K16" s="51">
        <f>Tawangrejo!D53</f>
        <v>15</v>
      </c>
      <c r="L16" s="51">
        <f>Geneng!D49</f>
        <v>28</v>
      </c>
      <c r="M16" s="51"/>
      <c r="O16" t="s">
        <v>55</v>
      </c>
      <c r="P16" s="124" t="s">
        <v>833</v>
      </c>
      <c r="Q16" s="1"/>
      <c r="R16" s="1"/>
      <c r="S16" s="1">
        <f>COUNTA('SRP Sugihwaras'!B3:B34)</f>
        <v>32</v>
      </c>
      <c r="T16" s="1">
        <f t="shared" si="3"/>
        <v>32</v>
      </c>
      <c r="U16" s="26"/>
      <c r="V16" s="43"/>
    </row>
    <row r="17" spans="2:21" x14ac:dyDescent="0.35">
      <c r="B17" s="58"/>
      <c r="C17" s="58"/>
      <c r="D17" s="58"/>
      <c r="E17" s="58" t="s">
        <v>182</v>
      </c>
      <c r="F17" s="58">
        <f>Manggis!F70</f>
        <v>20</v>
      </c>
      <c r="G17" s="58">
        <f>Klumutan!E79</f>
        <v>8</v>
      </c>
      <c r="H17" s="59">
        <f>Jotangan!E72</f>
        <v>10</v>
      </c>
      <c r="I17" s="59">
        <f>Sukorejo!E71</f>
        <v>15</v>
      </c>
      <c r="J17" s="59">
        <f>Kliwonan!E52</f>
        <v>9</v>
      </c>
      <c r="K17" s="51">
        <f>Tawangrejo!D54</f>
        <v>8</v>
      </c>
      <c r="L17" s="51">
        <f>Geneng!D50</f>
        <v>7</v>
      </c>
      <c r="M17" s="51"/>
    </row>
    <row r="18" spans="2:21" ht="26" x14ac:dyDescent="0.6">
      <c r="B18" s="58"/>
      <c r="C18" s="58"/>
      <c r="D18" s="58"/>
      <c r="E18" s="106" t="s">
        <v>184</v>
      </c>
      <c r="F18" s="106">
        <f t="shared" ref="F18:L18" si="4">SUM(F14:F17)</f>
        <v>58</v>
      </c>
      <c r="G18" s="106">
        <f t="shared" si="4"/>
        <v>63</v>
      </c>
      <c r="H18" s="106">
        <f t="shared" si="4"/>
        <v>50</v>
      </c>
      <c r="I18" s="106">
        <f t="shared" si="4"/>
        <v>55</v>
      </c>
      <c r="J18" s="106">
        <f t="shared" si="4"/>
        <v>32</v>
      </c>
      <c r="K18" s="106">
        <f t="shared" si="4"/>
        <v>23</v>
      </c>
      <c r="L18" s="106">
        <f t="shared" si="4"/>
        <v>35</v>
      </c>
      <c r="M18" s="52"/>
      <c r="P18" s="78" t="s">
        <v>8</v>
      </c>
      <c r="Q18" s="101">
        <f>SUM(Q3:Q13)</f>
        <v>283</v>
      </c>
      <c r="R18" s="101">
        <f>SUM(R3:R11)</f>
        <v>53</v>
      </c>
      <c r="S18" s="101">
        <f>SUM(S3:S16)</f>
        <v>405</v>
      </c>
      <c r="T18" s="101">
        <f>SUM(T3:T16)</f>
        <v>631</v>
      </c>
    </row>
    <row r="19" spans="2:21" x14ac:dyDescent="0.35">
      <c r="I19" s="50"/>
      <c r="T19">
        <f>1340+T15+T16</f>
        <v>1413</v>
      </c>
    </row>
    <row r="20" spans="2:21" x14ac:dyDescent="0.35">
      <c r="T20">
        <f>T19+298</f>
        <v>1711</v>
      </c>
      <c r="U20">
        <f>T20-1800</f>
        <v>-89</v>
      </c>
    </row>
    <row r="21" spans="2:21" ht="59.5" customHeight="1" x14ac:dyDescent="0.35"/>
    <row r="22" spans="2:21" ht="23.5" x14ac:dyDescent="0.55000000000000004">
      <c r="Q22" s="69"/>
      <c r="R22" s="69"/>
      <c r="T22" t="s">
        <v>1149</v>
      </c>
      <c r="U22" t="s">
        <v>1148</v>
      </c>
    </row>
    <row r="23" spans="2:21" x14ac:dyDescent="0.35">
      <c r="S23" t="s">
        <v>572</v>
      </c>
      <c r="T23">
        <f>819+S18</f>
        <v>1224</v>
      </c>
      <c r="U23">
        <f>819+442</f>
        <v>1261</v>
      </c>
    </row>
    <row r="24" spans="2:21" x14ac:dyDescent="0.35">
      <c r="S24" t="s">
        <v>573</v>
      </c>
      <c r="T24">
        <v>316</v>
      </c>
      <c r="U24">
        <v>316</v>
      </c>
    </row>
    <row r="25" spans="2:21" x14ac:dyDescent="0.35">
      <c r="S25" t="s">
        <v>184</v>
      </c>
      <c r="T25">
        <f>SUM(T23:T24)</f>
        <v>1540</v>
      </c>
      <c r="U25">
        <f>SUM(U23:U24)</f>
        <v>1577</v>
      </c>
    </row>
    <row r="26" spans="2:21" x14ac:dyDescent="0.35">
      <c r="S26" t="s">
        <v>1147</v>
      </c>
      <c r="T26">
        <v>220</v>
      </c>
      <c r="U26">
        <v>220</v>
      </c>
    </row>
    <row r="27" spans="2:21" x14ac:dyDescent="0.35">
      <c r="S27" t="s">
        <v>574</v>
      </c>
      <c r="T27">
        <f>(T25+T26)-1800</f>
        <v>-40</v>
      </c>
      <c r="U27">
        <f>(U25+U26)-1800</f>
        <v>-3</v>
      </c>
    </row>
  </sheetData>
  <autoFilter ref="P2:T2" xr:uid="{A0D5CEE3-8646-4BF8-A9AC-6B75B82DBB87}"/>
  <phoneticPr fontId="23" type="noConversion"/>
  <conditionalFormatting sqref="B2:M10">
    <cfRule type="expression" dxfId="112" priority="9">
      <formula>MOD(ROW(),2)=0</formula>
    </cfRule>
  </conditionalFormatting>
  <conditionalFormatting sqref="K13:L13">
    <cfRule type="expression" dxfId="111" priority="2">
      <formula>MOD(ROW(),2)=0</formula>
    </cfRule>
  </conditionalFormatting>
  <conditionalFormatting sqref="K18:L18">
    <cfRule type="expression" dxfId="110" priority="1">
      <formula>MOD(ROW(),2)=0</formula>
    </cfRule>
  </conditionalFormatting>
  <conditionalFormatting sqref="P2:R11 P18:T18">
    <cfRule type="expression" dxfId="109" priority="8">
      <formula>MOD(ROW(),2)=0</formula>
    </cfRule>
  </conditionalFormatting>
  <conditionalFormatting sqref="P2:T11 T13:T16 B13:J18 P18:T18">
    <cfRule type="expression" dxfId="108" priority="6">
      <formula>MOD(ROW(),2)=0</formula>
    </cfRule>
  </conditionalFormatting>
  <conditionalFormatting sqref="P2:T16">
    <cfRule type="expression" dxfId="107" priority="4">
      <formula>MOD(ROW(),2)=0</formula>
    </cfRule>
  </conditionalFormatting>
  <hyperlinks>
    <hyperlink ref="C3" location="Manggis!Print_Area" display="Manggis" xr:uid="{F7233A7B-9DFA-4D94-B84C-267271ABC790}"/>
    <hyperlink ref="C4" location="Sukorejo!Print_Area" display="Sukorejo" xr:uid="{6C667C6D-AFFB-4296-AADA-FB242ECB09C8}"/>
    <hyperlink ref="C8" location="Geneng!Print_Area" display="Geneng" xr:uid="{96BFC45F-383C-4DD5-87F6-B88841CB9096}"/>
    <hyperlink ref="P3" location="'SRP Manggis Boyolali'!A1" display="Manggis" xr:uid="{E7C423E9-D251-4972-9AFF-022FAA61EDBB}"/>
    <hyperlink ref="P4" location="'SRP Bangak Boyolali '!A1" display="Bangak " xr:uid="{E5518CA1-6BDC-4EB9-A078-8B63F941FA54}"/>
    <hyperlink ref="P5" location="'SRP Sumber Boyolali'!A1" display="Sumber " xr:uid="{E49755DD-41D4-44DD-9D07-342003EF52D5}"/>
    <hyperlink ref="P6" location="'SRP Sukorejo Sragen'!A1" display="Sukorejo" xr:uid="{359E0D17-5AE2-46DD-A4F4-2D51E9064A86}"/>
    <hyperlink ref="P7" location="'SRP Kliwonan Sragen'!A1" display="Kliwonan" xr:uid="{90963287-CE0F-4A8D-BB73-81B42AD92F05}"/>
    <hyperlink ref="P9" location="'SRP Jotangan Boyolali'!A1" display="Jotangan " xr:uid="{8B784DBF-1BDB-4BC3-B195-4065B6CB1AD2}"/>
    <hyperlink ref="P11" location="'SRP Klumutan Madiun'!A1" display="Klumutan" xr:uid="{B921993F-A5FC-4617-BBA0-0090027B7559}"/>
    <hyperlink ref="C6" location="Jotangan!A1" display="Jotangan" xr:uid="{55B7A72F-9CE6-4C9B-8F7E-C308FA8F6E54}"/>
    <hyperlink ref="C7" location="Tawangrejo!A1" display="Tawangrejo" xr:uid="{E89C98E4-D20E-4CBE-8636-5FB2773DD908}"/>
    <hyperlink ref="C5" location="Kliwonan!Print_Area" display="Kliwonan" xr:uid="{5D4A840C-316E-49D8-B84F-A299AE1222F6}"/>
    <hyperlink ref="P8" location="'SRP Karangmalang Sragen'!A1" display="Karangmalang" xr:uid="{CE7E873D-0A77-4BCE-BB44-1CB0D8B6A163}"/>
    <hyperlink ref="P10" location="'SRP Geneng Ngawi'!A1" display="Geneng" xr:uid="{98A5F561-4282-4014-B6BF-A43E1E7560D2}"/>
    <hyperlink ref="C9" location="Klumutan!A1" display="Klumutan" xr:uid="{18ADF3E4-C670-4750-B41D-ADAFD46C79D7}"/>
  </hyperlinks>
  <pageMargins left="0.7" right="0.7" top="0.75" bottom="0.75" header="0.3" footer="0.3"/>
  <pageSetup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F562-AE37-4B45-83F3-D4614AF9D8E5}">
  <sheetPr>
    <tabColor theme="6" tint="0.59999389629810485"/>
  </sheetPr>
  <dimension ref="A1:AC76"/>
  <sheetViews>
    <sheetView zoomScale="85" zoomScaleNormal="85" workbookViewId="0">
      <pane ySplit="2" topLeftCell="A51" activePane="bottomLeft" state="frozen"/>
      <selection pane="bottomLeft" activeCell="F67" sqref="F67:F70"/>
    </sheetView>
  </sheetViews>
  <sheetFormatPr defaultRowHeight="14.5" x14ac:dyDescent="0.35"/>
  <cols>
    <col min="1" max="1" width="8.7265625" style="3"/>
    <col min="2" max="2" width="27" style="30" customWidth="1"/>
    <col min="3" max="3" width="7.1796875" style="29" hidden="1" customWidth="1"/>
    <col min="4" max="4" width="16" style="30" hidden="1" customWidth="1"/>
    <col min="5" max="5" width="18.1796875" style="30" bestFit="1" customWidth="1"/>
    <col min="6" max="6" width="16" style="30" customWidth="1"/>
    <col min="7" max="8" width="14.54296875" style="1" hidden="1" customWidth="1"/>
    <col min="9" max="10" width="11.26953125" style="1" hidden="1" customWidth="1"/>
    <col min="11" max="13" width="7.54296875" style="1" hidden="1" customWidth="1"/>
    <col min="14" max="14" width="10.453125" style="1" customWidth="1"/>
    <col min="15" max="15" width="21.54296875" style="1" customWidth="1"/>
    <col min="16" max="16" width="12.36328125" style="3" customWidth="1"/>
    <col min="17" max="17" width="10.7265625" style="3" customWidth="1"/>
    <col min="18" max="19" width="10.36328125" style="1" customWidth="1"/>
    <col min="20" max="20" width="10.1796875" style="1" customWidth="1"/>
    <col min="21" max="21" width="9.7265625" style="1" customWidth="1"/>
    <col min="22" max="23" width="14.81640625" style="3" customWidth="1"/>
    <col min="24" max="24" width="11.1796875" style="1" customWidth="1"/>
    <col min="25" max="25" width="13" style="1" bestFit="1" customWidth="1"/>
    <col min="26" max="16384" width="8.7265625" style="1"/>
  </cols>
  <sheetData>
    <row r="1" spans="1:28" x14ac:dyDescent="0.35">
      <c r="A1" s="136"/>
      <c r="B1" s="136" t="s">
        <v>13</v>
      </c>
      <c r="C1" s="136" t="s">
        <v>14</v>
      </c>
      <c r="D1" s="136" t="s">
        <v>15</v>
      </c>
      <c r="E1" s="82"/>
      <c r="F1" s="82"/>
      <c r="G1" s="136" t="s">
        <v>16</v>
      </c>
      <c r="H1" s="136" t="s">
        <v>17</v>
      </c>
      <c r="I1" s="136" t="s">
        <v>10</v>
      </c>
      <c r="J1" s="136" t="s">
        <v>9</v>
      </c>
      <c r="K1" s="136" t="s">
        <v>11</v>
      </c>
      <c r="L1" s="136" t="s">
        <v>12</v>
      </c>
      <c r="M1" s="136" t="s">
        <v>35</v>
      </c>
      <c r="N1" s="136" t="s">
        <v>18</v>
      </c>
      <c r="O1" s="136" t="s">
        <v>19</v>
      </c>
      <c r="P1" s="137" t="s">
        <v>20</v>
      </c>
      <c r="Q1" s="137"/>
      <c r="R1" s="137"/>
      <c r="S1" s="137"/>
      <c r="T1" s="137"/>
      <c r="U1" s="137"/>
      <c r="V1" s="9"/>
      <c r="W1" s="9"/>
      <c r="X1" s="133" t="s">
        <v>22</v>
      </c>
      <c r="AA1" s="1" t="s">
        <v>45</v>
      </c>
    </row>
    <row r="2" spans="1:28" ht="29" x14ac:dyDescent="0.35">
      <c r="A2" s="136"/>
      <c r="B2" s="136"/>
      <c r="C2" s="136"/>
      <c r="D2" s="136"/>
      <c r="E2" s="82" t="s">
        <v>46</v>
      </c>
      <c r="F2" s="82" t="s">
        <v>54</v>
      </c>
      <c r="G2" s="136"/>
      <c r="H2" s="136"/>
      <c r="I2" s="136"/>
      <c r="J2" s="136"/>
      <c r="K2" s="136"/>
      <c r="L2" s="136"/>
      <c r="M2" s="136"/>
      <c r="N2" s="136"/>
      <c r="O2" s="136"/>
      <c r="P2" s="88">
        <v>46120</v>
      </c>
      <c r="Q2" s="88">
        <v>46134</v>
      </c>
      <c r="R2" s="88" t="s">
        <v>349</v>
      </c>
      <c r="S2" s="88" t="s">
        <v>463</v>
      </c>
      <c r="T2" s="89">
        <v>46184</v>
      </c>
      <c r="U2" s="89">
        <v>46198</v>
      </c>
      <c r="V2" s="9" t="s">
        <v>23</v>
      </c>
      <c r="W2" s="9" t="s">
        <v>24</v>
      </c>
      <c r="X2" s="133"/>
      <c r="Y2" s="1" t="s">
        <v>488</v>
      </c>
      <c r="AB2" s="1" t="s">
        <v>25</v>
      </c>
    </row>
    <row r="3" spans="1:28" ht="16" x14ac:dyDescent="0.4">
      <c r="A3" s="60">
        <v>1</v>
      </c>
      <c r="B3" s="83" t="s">
        <v>60</v>
      </c>
      <c r="C3" s="84"/>
      <c r="D3" s="85"/>
      <c r="E3" s="83" t="s">
        <v>69</v>
      </c>
      <c r="F3" s="90"/>
      <c r="G3" s="58"/>
      <c r="H3" s="58"/>
      <c r="I3" s="58"/>
      <c r="J3" s="58"/>
      <c r="K3" s="58"/>
      <c r="L3" s="58"/>
      <c r="M3" s="58"/>
      <c r="N3" s="58" t="s">
        <v>96</v>
      </c>
      <c r="O3" s="58" t="s">
        <v>149</v>
      </c>
      <c r="P3" s="60">
        <v>1</v>
      </c>
      <c r="Q3" s="60"/>
      <c r="R3" s="60">
        <v>1</v>
      </c>
      <c r="S3"/>
      <c r="T3">
        <v>1</v>
      </c>
      <c r="U3">
        <v>1</v>
      </c>
      <c r="V3" s="3">
        <f t="shared" ref="V3:V61" si="0">SUM(P3:U3)</f>
        <v>4</v>
      </c>
      <c r="W3" s="41">
        <f>SUM(P3:U3)/6</f>
        <v>0.66666666666666663</v>
      </c>
      <c r="X3" s="92" t="str">
        <f t="shared" ref="X3:X8" si="1">REPT("||||||",V3)</f>
        <v>||||||||||||||||||||||||</v>
      </c>
      <c r="Y3" s="1">
        <v>1</v>
      </c>
    </row>
    <row r="4" spans="1:28" ht="16" x14ac:dyDescent="0.4">
      <c r="A4" s="60">
        <v>2</v>
      </c>
      <c r="B4" s="83" t="s">
        <v>61</v>
      </c>
      <c r="C4" s="84"/>
      <c r="D4" s="85"/>
      <c r="E4" s="83" t="s">
        <v>69</v>
      </c>
      <c r="F4" s="90"/>
      <c r="G4" s="58"/>
      <c r="H4" s="58"/>
      <c r="I4" s="58"/>
      <c r="J4" s="58"/>
      <c r="K4" s="58"/>
      <c r="L4" s="58"/>
      <c r="M4" s="58"/>
      <c r="N4" s="58" t="s">
        <v>97</v>
      </c>
      <c r="O4" s="58" t="s">
        <v>149</v>
      </c>
      <c r="P4" s="60">
        <v>1</v>
      </c>
      <c r="Q4" s="60"/>
      <c r="R4" s="60"/>
      <c r="S4"/>
      <c r="T4">
        <v>1</v>
      </c>
      <c r="U4">
        <v>1</v>
      </c>
      <c r="V4" s="3">
        <f t="shared" si="0"/>
        <v>3</v>
      </c>
      <c r="W4" s="41">
        <f t="shared" ref="W4:W61" si="2">SUM(P4:U4)/6</f>
        <v>0.5</v>
      </c>
      <c r="X4" s="92" t="str">
        <f t="shared" si="1"/>
        <v>||||||||||||||||||</v>
      </c>
    </row>
    <row r="5" spans="1:28" ht="16" x14ac:dyDescent="0.4">
      <c r="A5" s="60">
        <v>3</v>
      </c>
      <c r="B5" s="83" t="s">
        <v>62</v>
      </c>
      <c r="C5" s="84"/>
      <c r="D5" s="85"/>
      <c r="E5" s="83" t="s">
        <v>69</v>
      </c>
      <c r="F5" s="90"/>
      <c r="G5" s="58"/>
      <c r="H5" s="58"/>
      <c r="I5" s="58"/>
      <c r="J5" s="58"/>
      <c r="K5" s="58"/>
      <c r="L5" s="58"/>
      <c r="M5" s="58"/>
      <c r="N5" s="58" t="s">
        <v>96</v>
      </c>
      <c r="O5" s="58" t="s">
        <v>149</v>
      </c>
      <c r="P5" s="60">
        <v>1</v>
      </c>
      <c r="Q5" s="60"/>
      <c r="R5" s="60"/>
      <c r="S5"/>
      <c r="T5"/>
      <c r="U5"/>
      <c r="V5" s="3">
        <f t="shared" si="0"/>
        <v>1</v>
      </c>
      <c r="W5" s="41">
        <f t="shared" si="2"/>
        <v>0.16666666666666666</v>
      </c>
      <c r="X5" s="92" t="str">
        <f t="shared" si="1"/>
        <v>||||||</v>
      </c>
    </row>
    <row r="6" spans="1:28" ht="16" x14ac:dyDescent="0.4">
      <c r="A6" s="60">
        <v>4</v>
      </c>
      <c r="B6" s="83" t="s">
        <v>63</v>
      </c>
      <c r="C6" s="84"/>
      <c r="D6" s="85"/>
      <c r="E6" s="83" t="s">
        <v>69</v>
      </c>
      <c r="F6" s="90"/>
      <c r="G6" s="58"/>
      <c r="H6" s="58"/>
      <c r="I6" s="58"/>
      <c r="J6" s="58"/>
      <c r="K6" s="58"/>
      <c r="L6" s="58"/>
      <c r="M6" s="58"/>
      <c r="N6" s="58" t="s">
        <v>97</v>
      </c>
      <c r="O6" s="58" t="s">
        <v>149</v>
      </c>
      <c r="P6" s="60">
        <v>1</v>
      </c>
      <c r="Q6" s="60"/>
      <c r="R6" s="60"/>
      <c r="S6"/>
      <c r="T6">
        <v>1</v>
      </c>
      <c r="U6"/>
      <c r="V6" s="3">
        <f t="shared" si="0"/>
        <v>2</v>
      </c>
      <c r="W6" s="41">
        <f t="shared" si="2"/>
        <v>0.33333333333333331</v>
      </c>
      <c r="X6" s="92" t="str">
        <f t="shared" si="1"/>
        <v>||||||||||||</v>
      </c>
    </row>
    <row r="7" spans="1:28" ht="16" x14ac:dyDescent="0.4">
      <c r="A7" s="60">
        <v>5</v>
      </c>
      <c r="B7" s="83" t="s">
        <v>64</v>
      </c>
      <c r="C7" s="84"/>
      <c r="D7" s="85"/>
      <c r="E7" s="83" t="s">
        <v>72</v>
      </c>
      <c r="F7" s="90"/>
      <c r="G7" s="58"/>
      <c r="H7" s="58"/>
      <c r="I7" s="58"/>
      <c r="J7" s="58"/>
      <c r="K7" s="58"/>
      <c r="L7" s="58"/>
      <c r="M7" s="58"/>
      <c r="N7" s="58" t="s">
        <v>97</v>
      </c>
      <c r="O7" s="58" t="s">
        <v>149</v>
      </c>
      <c r="P7" s="60">
        <v>1</v>
      </c>
      <c r="Q7" s="60">
        <v>1</v>
      </c>
      <c r="R7" s="60">
        <v>1</v>
      </c>
      <c r="S7">
        <v>1</v>
      </c>
      <c r="T7">
        <v>1</v>
      </c>
      <c r="U7">
        <v>1</v>
      </c>
      <c r="V7" s="3">
        <f t="shared" si="0"/>
        <v>6</v>
      </c>
      <c r="W7" s="41">
        <f t="shared" si="2"/>
        <v>1</v>
      </c>
      <c r="X7" s="92" t="str">
        <f t="shared" si="1"/>
        <v>||||||||||||||||||||||||||||||||||||</v>
      </c>
    </row>
    <row r="8" spans="1:28" ht="16" x14ac:dyDescent="0.4">
      <c r="A8" s="60">
        <v>6</v>
      </c>
      <c r="B8" s="86" t="s">
        <v>362</v>
      </c>
      <c r="C8" s="84"/>
      <c r="D8" s="85"/>
      <c r="E8" s="83" t="s">
        <v>72</v>
      </c>
      <c r="F8" s="90"/>
      <c r="G8" s="58"/>
      <c r="H8" s="58"/>
      <c r="I8" s="58"/>
      <c r="J8" s="58"/>
      <c r="K8" s="58"/>
      <c r="L8" s="58"/>
      <c r="M8" s="58"/>
      <c r="N8" s="58" t="s">
        <v>97</v>
      </c>
      <c r="O8" s="58" t="s">
        <v>149</v>
      </c>
      <c r="P8" s="60">
        <v>1</v>
      </c>
      <c r="Q8" s="60"/>
      <c r="R8" s="60">
        <v>1</v>
      </c>
      <c r="S8">
        <v>1</v>
      </c>
      <c r="T8">
        <v>1</v>
      </c>
      <c r="U8">
        <v>1</v>
      </c>
      <c r="V8" s="3">
        <f t="shared" si="0"/>
        <v>5</v>
      </c>
      <c r="W8" s="41">
        <f t="shared" si="2"/>
        <v>0.83333333333333337</v>
      </c>
      <c r="X8" s="92" t="str">
        <f t="shared" si="1"/>
        <v>||||||||||||||||||||||||||||||</v>
      </c>
    </row>
    <row r="9" spans="1:28" ht="16" x14ac:dyDescent="0.4">
      <c r="A9" s="60">
        <v>7</v>
      </c>
      <c r="B9" s="83" t="s">
        <v>65</v>
      </c>
      <c r="C9" s="84"/>
      <c r="D9" s="85"/>
      <c r="E9" s="83" t="s">
        <v>70</v>
      </c>
      <c r="F9" s="91"/>
      <c r="G9" s="58"/>
      <c r="H9" s="58"/>
      <c r="I9" s="58"/>
      <c r="J9" s="58"/>
      <c r="K9" s="58"/>
      <c r="L9" s="58"/>
      <c r="M9" s="58"/>
      <c r="N9" s="58" t="s">
        <v>97</v>
      </c>
      <c r="O9" s="58" t="s">
        <v>149</v>
      </c>
      <c r="P9" s="60">
        <v>1</v>
      </c>
      <c r="Q9" s="60"/>
      <c r="R9" s="60"/>
      <c r="S9"/>
      <c r="T9"/>
      <c r="U9"/>
      <c r="V9" s="3">
        <f t="shared" si="0"/>
        <v>1</v>
      </c>
      <c r="W9" s="41">
        <f t="shared" si="2"/>
        <v>0.16666666666666666</v>
      </c>
      <c r="X9" s="92"/>
    </row>
    <row r="10" spans="1:28" ht="16" x14ac:dyDescent="0.4">
      <c r="A10" s="60">
        <v>8</v>
      </c>
      <c r="B10" s="83" t="s">
        <v>66</v>
      </c>
      <c r="C10" s="84"/>
      <c r="D10" s="85"/>
      <c r="E10" s="83" t="s">
        <v>71</v>
      </c>
      <c r="F10" s="90"/>
      <c r="G10" s="58"/>
      <c r="H10" s="58"/>
      <c r="I10" s="58"/>
      <c r="J10" s="58"/>
      <c r="K10" s="58"/>
      <c r="L10" s="58"/>
      <c r="M10" s="58"/>
      <c r="N10" s="58" t="s">
        <v>97</v>
      </c>
      <c r="O10" s="58" t="s">
        <v>149</v>
      </c>
      <c r="P10" s="60">
        <v>1</v>
      </c>
      <c r="Q10" s="60"/>
      <c r="R10" s="60">
        <v>1</v>
      </c>
      <c r="S10"/>
      <c r="T10">
        <v>1</v>
      </c>
      <c r="U10" s="52">
        <v>1</v>
      </c>
      <c r="V10" s="3">
        <f t="shared" si="0"/>
        <v>4</v>
      </c>
      <c r="W10" s="41">
        <f t="shared" si="2"/>
        <v>0.66666666666666663</v>
      </c>
      <c r="X10" s="92" t="str">
        <f>REPT("||||||",V10)</f>
        <v>||||||||||||||||||||||||</v>
      </c>
    </row>
    <row r="11" spans="1:28" ht="16" x14ac:dyDescent="0.4">
      <c r="A11" s="60">
        <v>9</v>
      </c>
      <c r="B11" s="83" t="s">
        <v>67</v>
      </c>
      <c r="C11" s="84"/>
      <c r="D11" s="85"/>
      <c r="E11" s="83" t="s">
        <v>72</v>
      </c>
      <c r="F11" s="90"/>
      <c r="G11" s="58"/>
      <c r="H11" s="58"/>
      <c r="I11" s="58"/>
      <c r="J11" s="58"/>
      <c r="K11" s="58"/>
      <c r="L11" s="58"/>
      <c r="M11" s="58"/>
      <c r="N11" s="58" t="s">
        <v>96</v>
      </c>
      <c r="O11" s="58" t="s">
        <v>149</v>
      </c>
      <c r="P11" s="60">
        <v>1</v>
      </c>
      <c r="Q11" s="60">
        <v>1</v>
      </c>
      <c r="R11" s="60">
        <v>1</v>
      </c>
      <c r="S11">
        <v>1</v>
      </c>
      <c r="T11">
        <v>1</v>
      </c>
      <c r="U11">
        <v>1</v>
      </c>
      <c r="V11" s="3">
        <f t="shared" si="0"/>
        <v>6</v>
      </c>
      <c r="W11" s="41">
        <f t="shared" si="2"/>
        <v>1</v>
      </c>
      <c r="X11" s="92" t="str">
        <f>REPT("||||||",V11)</f>
        <v>||||||||||||||||||||||||||||||||||||</v>
      </c>
    </row>
    <row r="12" spans="1:28" ht="16" x14ac:dyDescent="0.4">
      <c r="A12" s="60">
        <v>10</v>
      </c>
      <c r="B12" s="83" t="s">
        <v>68</v>
      </c>
      <c r="C12" s="84"/>
      <c r="D12" s="85"/>
      <c r="E12" s="83" t="s">
        <v>72</v>
      </c>
      <c r="F12" s="90"/>
      <c r="G12" s="58"/>
      <c r="H12" s="58"/>
      <c r="I12" s="58"/>
      <c r="J12" s="58"/>
      <c r="K12" s="58"/>
      <c r="L12" s="58"/>
      <c r="M12" s="58"/>
      <c r="N12" s="58" t="s">
        <v>96</v>
      </c>
      <c r="O12" s="58" t="s">
        <v>149</v>
      </c>
      <c r="P12" s="60">
        <v>1</v>
      </c>
      <c r="Q12" s="60">
        <v>1</v>
      </c>
      <c r="R12" s="60">
        <v>1</v>
      </c>
      <c r="S12"/>
      <c r="T12">
        <v>1</v>
      </c>
      <c r="U12">
        <v>1</v>
      </c>
      <c r="V12" s="3">
        <f t="shared" si="0"/>
        <v>5</v>
      </c>
      <c r="W12" s="41">
        <f t="shared" si="2"/>
        <v>0.83333333333333337</v>
      </c>
      <c r="X12" s="92" t="str">
        <f>REPT("||||||",V12)</f>
        <v>||||||||||||||||||||||||||||||</v>
      </c>
      <c r="Y12" s="1">
        <v>1</v>
      </c>
    </row>
    <row r="13" spans="1:28" ht="16" customHeight="1" x14ac:dyDescent="0.35">
      <c r="A13" s="60">
        <v>11</v>
      </c>
      <c r="B13" s="83" t="s">
        <v>73</v>
      </c>
      <c r="C13" s="84"/>
      <c r="D13" s="85"/>
      <c r="E13" s="83" t="s">
        <v>74</v>
      </c>
      <c r="F13" s="85"/>
      <c r="G13" s="58"/>
      <c r="H13" s="58"/>
      <c r="I13" s="58"/>
      <c r="J13" s="58"/>
      <c r="K13" s="58"/>
      <c r="L13" s="58"/>
      <c r="M13" s="58"/>
      <c r="N13" s="58" t="s">
        <v>96</v>
      </c>
      <c r="O13" s="58" t="s">
        <v>149</v>
      </c>
      <c r="P13" s="60">
        <v>1</v>
      </c>
      <c r="Q13" s="60">
        <v>1</v>
      </c>
      <c r="R13" s="60">
        <v>1</v>
      </c>
      <c r="S13"/>
      <c r="T13">
        <v>1</v>
      </c>
      <c r="U13">
        <v>1</v>
      </c>
      <c r="V13" s="3">
        <f t="shared" si="0"/>
        <v>5</v>
      </c>
      <c r="W13" s="41">
        <f t="shared" si="2"/>
        <v>0.83333333333333337</v>
      </c>
    </row>
    <row r="14" spans="1:28" ht="16" x14ac:dyDescent="0.4">
      <c r="A14" s="60">
        <v>12</v>
      </c>
      <c r="B14" s="83" t="s">
        <v>75</v>
      </c>
      <c r="C14" s="84"/>
      <c r="D14" s="85"/>
      <c r="E14" s="83" t="s">
        <v>76</v>
      </c>
      <c r="F14" s="91"/>
      <c r="G14" s="58"/>
      <c r="H14" s="58"/>
      <c r="I14" s="58"/>
      <c r="J14" s="58"/>
      <c r="K14" s="58"/>
      <c r="L14" s="58"/>
      <c r="M14" s="58"/>
      <c r="N14" s="58" t="s">
        <v>96</v>
      </c>
      <c r="O14" s="58" t="s">
        <v>149</v>
      </c>
      <c r="P14" s="60">
        <v>1</v>
      </c>
      <c r="Q14" s="60">
        <v>1</v>
      </c>
      <c r="R14" s="60"/>
      <c r="S14">
        <v>1</v>
      </c>
      <c r="T14">
        <v>1</v>
      </c>
      <c r="U14">
        <v>1</v>
      </c>
      <c r="V14" s="3">
        <f t="shared" si="0"/>
        <v>5</v>
      </c>
      <c r="W14" s="41">
        <f t="shared" si="2"/>
        <v>0.83333333333333337</v>
      </c>
      <c r="X14" s="92" t="str">
        <f t="shared" ref="X14:X43" si="3">REPT("||||||",V14)</f>
        <v>||||||||||||||||||||||||||||||</v>
      </c>
      <c r="Y14" s="1">
        <v>1</v>
      </c>
    </row>
    <row r="15" spans="1:28" ht="16" x14ac:dyDescent="0.4">
      <c r="A15" s="60">
        <v>13</v>
      </c>
      <c r="B15" s="86" t="s">
        <v>155</v>
      </c>
      <c r="C15" s="84"/>
      <c r="D15" s="85"/>
      <c r="E15" s="83" t="s">
        <v>76</v>
      </c>
      <c r="F15" s="90"/>
      <c r="G15" s="58"/>
      <c r="H15" s="58"/>
      <c r="I15" s="58"/>
      <c r="J15" s="58"/>
      <c r="K15" s="58"/>
      <c r="L15" s="58"/>
      <c r="M15" s="58"/>
      <c r="N15" s="58" t="s">
        <v>96</v>
      </c>
      <c r="O15" s="58" t="s">
        <v>149</v>
      </c>
      <c r="P15" s="60">
        <v>1</v>
      </c>
      <c r="Q15" s="60">
        <v>1</v>
      </c>
      <c r="R15" s="60">
        <v>1</v>
      </c>
      <c r="S15">
        <v>1</v>
      </c>
      <c r="T15">
        <v>1</v>
      </c>
      <c r="U15">
        <v>1</v>
      </c>
      <c r="V15" s="3">
        <f t="shared" si="0"/>
        <v>6</v>
      </c>
      <c r="W15" s="41">
        <f t="shared" si="2"/>
        <v>1</v>
      </c>
      <c r="X15" s="92" t="str">
        <f t="shared" si="3"/>
        <v>||||||||||||||||||||||||||||||||||||</v>
      </c>
      <c r="Y15" s="1">
        <v>1</v>
      </c>
    </row>
    <row r="16" spans="1:28" ht="16" x14ac:dyDescent="0.4">
      <c r="A16" s="60">
        <v>14</v>
      </c>
      <c r="B16" s="83" t="s">
        <v>77</v>
      </c>
      <c r="C16" s="84"/>
      <c r="D16" s="85"/>
      <c r="E16" s="83" t="s">
        <v>89</v>
      </c>
      <c r="F16" s="90"/>
      <c r="G16" s="58"/>
      <c r="H16" s="58"/>
      <c r="I16" s="58"/>
      <c r="J16" s="58"/>
      <c r="K16" s="58"/>
      <c r="L16" s="58"/>
      <c r="M16" s="58"/>
      <c r="N16" s="58" t="s">
        <v>96</v>
      </c>
      <c r="O16" s="58" t="s">
        <v>149</v>
      </c>
      <c r="P16" s="60">
        <v>1</v>
      </c>
      <c r="Q16" s="60">
        <v>1</v>
      </c>
      <c r="R16" s="60">
        <v>1</v>
      </c>
      <c r="S16">
        <v>1</v>
      </c>
      <c r="T16"/>
      <c r="U16">
        <v>1</v>
      </c>
      <c r="V16" s="3">
        <f t="shared" si="0"/>
        <v>5</v>
      </c>
      <c r="W16" s="41">
        <f t="shared" si="2"/>
        <v>0.83333333333333337</v>
      </c>
      <c r="X16" s="92" t="str">
        <f t="shared" si="3"/>
        <v>||||||||||||||||||||||||||||||</v>
      </c>
      <c r="Y16" s="1">
        <v>1</v>
      </c>
    </row>
    <row r="17" spans="1:29" ht="26" x14ac:dyDescent="0.4">
      <c r="A17" s="60">
        <v>15</v>
      </c>
      <c r="B17" s="83" t="s">
        <v>78</v>
      </c>
      <c r="C17" s="84"/>
      <c r="D17" s="85"/>
      <c r="E17" s="83" t="s">
        <v>90</v>
      </c>
      <c r="F17" s="90"/>
      <c r="G17" s="58"/>
      <c r="H17" s="58"/>
      <c r="I17" s="58"/>
      <c r="J17" s="58"/>
      <c r="K17" s="58"/>
      <c r="L17" s="58"/>
      <c r="M17" s="58"/>
      <c r="N17" s="58" t="s">
        <v>96</v>
      </c>
      <c r="O17" s="58" t="s">
        <v>179</v>
      </c>
      <c r="P17" s="60">
        <v>1</v>
      </c>
      <c r="Q17" s="60">
        <v>1</v>
      </c>
      <c r="R17" s="60">
        <v>1</v>
      </c>
      <c r="S17">
        <v>1</v>
      </c>
      <c r="T17">
        <v>1</v>
      </c>
      <c r="U17">
        <v>1</v>
      </c>
      <c r="V17" s="3">
        <f t="shared" si="0"/>
        <v>6</v>
      </c>
      <c r="W17" s="41">
        <f t="shared" si="2"/>
        <v>1</v>
      </c>
      <c r="X17" s="92" t="str">
        <f t="shared" si="3"/>
        <v>||||||||||||||||||||||||||||||||||||</v>
      </c>
      <c r="AC17" s="93" t="s">
        <v>28</v>
      </c>
    </row>
    <row r="18" spans="1:29" ht="26" x14ac:dyDescent="0.4">
      <c r="A18" s="60">
        <v>16</v>
      </c>
      <c r="B18" s="83" t="s">
        <v>79</v>
      </c>
      <c r="C18" s="84"/>
      <c r="D18" s="85"/>
      <c r="E18" s="83" t="s">
        <v>91</v>
      </c>
      <c r="F18" s="90"/>
      <c r="G18" s="58"/>
      <c r="H18" s="58"/>
      <c r="I18" s="58"/>
      <c r="J18" s="58"/>
      <c r="K18" s="58"/>
      <c r="L18" s="58"/>
      <c r="M18" s="58"/>
      <c r="N18" s="58" t="s">
        <v>96</v>
      </c>
      <c r="O18" s="58" t="s">
        <v>149</v>
      </c>
      <c r="P18" s="60">
        <v>1</v>
      </c>
      <c r="Q18" s="60">
        <v>1</v>
      </c>
      <c r="R18" s="60">
        <v>1</v>
      </c>
      <c r="S18">
        <v>1</v>
      </c>
      <c r="T18">
        <v>1</v>
      </c>
      <c r="U18">
        <v>1</v>
      </c>
      <c r="V18" s="3">
        <f t="shared" si="0"/>
        <v>6</v>
      </c>
      <c r="W18" s="41">
        <f t="shared" si="2"/>
        <v>1</v>
      </c>
      <c r="X18" s="92" t="str">
        <f t="shared" si="3"/>
        <v>||||||||||||||||||||||||||||||||||||</v>
      </c>
      <c r="AC18" s="93" t="s">
        <v>30</v>
      </c>
    </row>
    <row r="19" spans="1:29" ht="26" x14ac:dyDescent="0.4">
      <c r="A19" s="60">
        <v>17</v>
      </c>
      <c r="B19" s="83" t="s">
        <v>80</v>
      </c>
      <c r="C19" s="84"/>
      <c r="D19" s="85"/>
      <c r="E19" s="83" t="s">
        <v>92</v>
      </c>
      <c r="F19" s="90"/>
      <c r="G19" s="58"/>
      <c r="H19" s="58"/>
      <c r="I19" s="58"/>
      <c r="J19" s="58"/>
      <c r="K19" s="58"/>
      <c r="L19" s="58"/>
      <c r="M19" s="58"/>
      <c r="N19" s="58" t="s">
        <v>96</v>
      </c>
      <c r="O19" s="58" t="s">
        <v>149</v>
      </c>
      <c r="P19" s="60">
        <v>1</v>
      </c>
      <c r="Q19" s="60">
        <v>1</v>
      </c>
      <c r="R19" s="60">
        <v>1</v>
      </c>
      <c r="S19"/>
      <c r="T19" s="111">
        <v>1</v>
      </c>
      <c r="U19">
        <v>1</v>
      </c>
      <c r="V19" s="3">
        <f t="shared" si="0"/>
        <v>5</v>
      </c>
      <c r="W19" s="41">
        <f t="shared" si="2"/>
        <v>0.83333333333333337</v>
      </c>
      <c r="X19" s="92" t="str">
        <f t="shared" si="3"/>
        <v>||||||||||||||||||||||||||||||</v>
      </c>
      <c r="AC19" s="93" t="s">
        <v>29</v>
      </c>
    </row>
    <row r="20" spans="1:29" ht="16" x14ac:dyDescent="0.4">
      <c r="A20" s="60">
        <v>18</v>
      </c>
      <c r="B20" s="83" t="s">
        <v>81</v>
      </c>
      <c r="C20" s="84"/>
      <c r="D20" s="85"/>
      <c r="E20" s="83" t="s">
        <v>92</v>
      </c>
      <c r="F20" s="91"/>
      <c r="G20" s="58"/>
      <c r="H20" s="58"/>
      <c r="I20" s="58"/>
      <c r="J20" s="58"/>
      <c r="K20" s="58"/>
      <c r="L20" s="58"/>
      <c r="M20" s="58"/>
      <c r="N20" s="58" t="s">
        <v>96</v>
      </c>
      <c r="O20" s="58" t="s">
        <v>149</v>
      </c>
      <c r="P20" s="60">
        <v>1</v>
      </c>
      <c r="Q20" s="60">
        <v>1</v>
      </c>
      <c r="R20" s="60">
        <v>1</v>
      </c>
      <c r="S20"/>
      <c r="T20">
        <v>1</v>
      </c>
      <c r="U20"/>
      <c r="V20" s="3">
        <f t="shared" si="0"/>
        <v>4</v>
      </c>
      <c r="W20" s="41">
        <f t="shared" si="2"/>
        <v>0.66666666666666663</v>
      </c>
      <c r="X20" s="92" t="str">
        <f t="shared" si="3"/>
        <v>||||||||||||||||||||||||</v>
      </c>
    </row>
    <row r="21" spans="1:29" ht="16" x14ac:dyDescent="0.4">
      <c r="A21" s="60">
        <v>19</v>
      </c>
      <c r="B21" s="83" t="s">
        <v>43</v>
      </c>
      <c r="C21" s="84"/>
      <c r="D21" s="85"/>
      <c r="E21" s="83" t="s">
        <v>92</v>
      </c>
      <c r="F21" s="90"/>
      <c r="G21" s="58"/>
      <c r="H21" s="58"/>
      <c r="I21" s="58"/>
      <c r="J21" s="58"/>
      <c r="K21" s="58"/>
      <c r="L21" s="58"/>
      <c r="M21" s="58"/>
      <c r="N21" s="58" t="s">
        <v>96</v>
      </c>
      <c r="O21" s="58" t="s">
        <v>149</v>
      </c>
      <c r="P21" s="60">
        <v>1</v>
      </c>
      <c r="Q21" s="60">
        <v>1</v>
      </c>
      <c r="R21" s="60">
        <v>1</v>
      </c>
      <c r="S21">
        <v>1</v>
      </c>
      <c r="T21">
        <v>1</v>
      </c>
      <c r="U21">
        <v>1</v>
      </c>
      <c r="V21" s="3">
        <f t="shared" si="0"/>
        <v>6</v>
      </c>
      <c r="W21" s="41">
        <f t="shared" si="2"/>
        <v>1</v>
      </c>
      <c r="X21" s="92" t="str">
        <f t="shared" si="3"/>
        <v>||||||||||||||||||||||||||||||||||||</v>
      </c>
    </row>
    <row r="22" spans="1:29" ht="16" x14ac:dyDescent="0.4">
      <c r="A22" s="60">
        <v>20</v>
      </c>
      <c r="B22" s="83" t="s">
        <v>93</v>
      </c>
      <c r="C22" s="84"/>
      <c r="D22" s="85"/>
      <c r="E22" s="83" t="s">
        <v>94</v>
      </c>
      <c r="F22" s="90"/>
      <c r="G22" s="58"/>
      <c r="H22" s="58"/>
      <c r="I22" s="58"/>
      <c r="J22" s="58"/>
      <c r="K22" s="58"/>
      <c r="L22" s="58"/>
      <c r="M22" s="58"/>
      <c r="N22" s="58" t="s">
        <v>96</v>
      </c>
      <c r="O22" s="58" t="s">
        <v>149</v>
      </c>
      <c r="P22" s="60">
        <v>1</v>
      </c>
      <c r="Q22" s="60"/>
      <c r="R22" s="60"/>
      <c r="S22"/>
      <c r="T22"/>
      <c r="U22"/>
      <c r="V22" s="3">
        <f t="shared" si="0"/>
        <v>1</v>
      </c>
      <c r="W22" s="41">
        <f t="shared" si="2"/>
        <v>0.16666666666666666</v>
      </c>
      <c r="X22" s="92" t="str">
        <f t="shared" si="3"/>
        <v>||||||</v>
      </c>
      <c r="AB22" s="1">
        <v>1</v>
      </c>
      <c r="AC22" s="1" t="s">
        <v>26</v>
      </c>
    </row>
    <row r="23" spans="1:29" ht="16" x14ac:dyDescent="0.4">
      <c r="A23" s="60">
        <v>21</v>
      </c>
      <c r="B23" s="83" t="s">
        <v>82</v>
      </c>
      <c r="C23" s="84"/>
      <c r="D23" s="85"/>
      <c r="E23" s="83" t="s">
        <v>95</v>
      </c>
      <c r="F23" s="90"/>
      <c r="G23" s="58"/>
      <c r="H23" s="58"/>
      <c r="I23" s="58"/>
      <c r="J23" s="58"/>
      <c r="K23" s="58"/>
      <c r="L23" s="58"/>
      <c r="M23" s="58"/>
      <c r="N23" s="58" t="s">
        <v>96</v>
      </c>
      <c r="O23" s="58" t="s">
        <v>149</v>
      </c>
      <c r="P23" s="60">
        <v>1</v>
      </c>
      <c r="Q23" s="60">
        <v>1</v>
      </c>
      <c r="R23" s="60">
        <v>1</v>
      </c>
      <c r="S23">
        <v>1</v>
      </c>
      <c r="T23">
        <v>1</v>
      </c>
      <c r="U23">
        <v>1</v>
      </c>
      <c r="V23" s="3">
        <f t="shared" si="0"/>
        <v>6</v>
      </c>
      <c r="W23" s="41">
        <f t="shared" si="2"/>
        <v>1</v>
      </c>
      <c r="X23" s="92" t="str">
        <f t="shared" si="3"/>
        <v>||||||||||||||||||||||||||||||||||||</v>
      </c>
      <c r="AB23" s="1">
        <v>0</v>
      </c>
      <c r="AC23" s="1" t="s">
        <v>27</v>
      </c>
    </row>
    <row r="24" spans="1:29" ht="16" x14ac:dyDescent="0.4">
      <c r="A24" s="60">
        <v>22</v>
      </c>
      <c r="B24" s="83" t="s">
        <v>83</v>
      </c>
      <c r="C24" s="84"/>
      <c r="D24" s="85"/>
      <c r="E24" s="83" t="s">
        <v>95</v>
      </c>
      <c r="F24" s="91"/>
      <c r="G24" s="58"/>
      <c r="H24" s="58"/>
      <c r="I24" s="58"/>
      <c r="J24" s="58"/>
      <c r="K24" s="58"/>
      <c r="L24" s="58"/>
      <c r="M24" s="58"/>
      <c r="N24" s="58" t="s">
        <v>96</v>
      </c>
      <c r="O24" s="58" t="s">
        <v>149</v>
      </c>
      <c r="P24" s="60">
        <v>1</v>
      </c>
      <c r="Q24" s="60">
        <v>1</v>
      </c>
      <c r="R24" s="60">
        <v>1</v>
      </c>
      <c r="S24">
        <v>1</v>
      </c>
      <c r="T24"/>
      <c r="U24">
        <v>1</v>
      </c>
      <c r="V24" s="3">
        <f t="shared" si="0"/>
        <v>5</v>
      </c>
      <c r="W24" s="41">
        <f t="shared" si="2"/>
        <v>0.83333333333333337</v>
      </c>
      <c r="X24" s="92" t="str">
        <f t="shared" si="3"/>
        <v>||||||||||||||||||||||||||||||</v>
      </c>
    </row>
    <row r="25" spans="1:29" ht="16" x14ac:dyDescent="0.4">
      <c r="A25" s="60">
        <v>23</v>
      </c>
      <c r="B25" s="83" t="s">
        <v>84</v>
      </c>
      <c r="C25" s="84"/>
      <c r="D25" s="85"/>
      <c r="E25" s="83" t="s">
        <v>95</v>
      </c>
      <c r="F25" s="91"/>
      <c r="G25" s="58"/>
      <c r="H25" s="58"/>
      <c r="I25" s="58"/>
      <c r="J25" s="58"/>
      <c r="K25" s="58"/>
      <c r="L25" s="58"/>
      <c r="M25" s="58"/>
      <c r="N25" s="58" t="s">
        <v>96</v>
      </c>
      <c r="O25" s="58" t="s">
        <v>179</v>
      </c>
      <c r="P25" s="60">
        <v>1</v>
      </c>
      <c r="Q25" s="60"/>
      <c r="R25" s="60">
        <v>1</v>
      </c>
      <c r="S25">
        <v>1</v>
      </c>
      <c r="T25"/>
      <c r="U25">
        <v>1</v>
      </c>
      <c r="V25" s="3">
        <f t="shared" si="0"/>
        <v>4</v>
      </c>
      <c r="W25" s="41">
        <f t="shared" si="2"/>
        <v>0.66666666666666663</v>
      </c>
      <c r="X25" s="92" t="str">
        <f t="shared" si="3"/>
        <v>||||||||||||||||||||||||</v>
      </c>
    </row>
    <row r="26" spans="1:29" ht="16" x14ac:dyDescent="0.4">
      <c r="A26" s="60">
        <v>24</v>
      </c>
      <c r="B26" s="83" t="s">
        <v>85</v>
      </c>
      <c r="C26" s="84"/>
      <c r="D26" s="85"/>
      <c r="E26" s="83" t="s">
        <v>95</v>
      </c>
      <c r="F26" s="90"/>
      <c r="G26" s="58"/>
      <c r="H26" s="58"/>
      <c r="I26" s="58"/>
      <c r="J26" s="58"/>
      <c r="K26" s="58"/>
      <c r="L26" s="58"/>
      <c r="M26" s="58"/>
      <c r="N26" s="58" t="s">
        <v>96</v>
      </c>
      <c r="O26" s="58" t="s">
        <v>149</v>
      </c>
      <c r="P26" s="60">
        <v>1</v>
      </c>
      <c r="Q26" s="60">
        <v>1</v>
      </c>
      <c r="R26" s="60">
        <v>1</v>
      </c>
      <c r="S26"/>
      <c r="T26" s="111">
        <v>1</v>
      </c>
      <c r="U26" s="111">
        <v>1</v>
      </c>
      <c r="V26" s="3">
        <f t="shared" si="0"/>
        <v>5</v>
      </c>
      <c r="W26" s="41">
        <f t="shared" si="2"/>
        <v>0.83333333333333337</v>
      </c>
      <c r="X26" s="92" t="str">
        <f t="shared" si="3"/>
        <v>||||||||||||||||||||||||||||||</v>
      </c>
    </row>
    <row r="27" spans="1:29" ht="16" x14ac:dyDescent="0.4">
      <c r="A27" s="60">
        <v>25</v>
      </c>
      <c r="B27" s="83" t="s">
        <v>87</v>
      </c>
      <c r="C27" s="84"/>
      <c r="D27" s="85"/>
      <c r="E27" s="83" t="s">
        <v>95</v>
      </c>
      <c r="F27" s="90"/>
      <c r="G27" s="58"/>
      <c r="H27" s="58"/>
      <c r="I27" s="58"/>
      <c r="J27" s="58"/>
      <c r="K27" s="58"/>
      <c r="L27" s="58"/>
      <c r="M27" s="58"/>
      <c r="N27" s="58" t="s">
        <v>96</v>
      </c>
      <c r="O27" s="58" t="s">
        <v>149</v>
      </c>
      <c r="P27" s="60">
        <v>1</v>
      </c>
      <c r="Q27" s="60">
        <v>1</v>
      </c>
      <c r="R27" s="60">
        <v>1</v>
      </c>
      <c r="S27"/>
      <c r="T27" s="111">
        <v>1</v>
      </c>
      <c r="U27" s="111">
        <v>1</v>
      </c>
      <c r="V27" s="3">
        <f t="shared" si="0"/>
        <v>5</v>
      </c>
      <c r="W27" s="41">
        <f t="shared" si="2"/>
        <v>0.83333333333333337</v>
      </c>
      <c r="X27" s="92" t="str">
        <f t="shared" si="3"/>
        <v>||||||||||||||||||||||||||||||</v>
      </c>
    </row>
    <row r="28" spans="1:29" ht="16" x14ac:dyDescent="0.4">
      <c r="A28" s="60">
        <v>26</v>
      </c>
      <c r="B28" s="87" t="s">
        <v>208</v>
      </c>
      <c r="C28" s="84"/>
      <c r="D28" s="85"/>
      <c r="E28" s="87" t="s">
        <v>91</v>
      </c>
      <c r="F28" s="90"/>
      <c r="G28" s="58"/>
      <c r="H28" s="58"/>
      <c r="I28" s="58"/>
      <c r="J28" s="58"/>
      <c r="K28" s="58"/>
      <c r="L28" s="58"/>
      <c r="M28" s="58"/>
      <c r="N28" s="58" t="s">
        <v>96</v>
      </c>
      <c r="O28" s="58" t="s">
        <v>149</v>
      </c>
      <c r="P28" s="60"/>
      <c r="Q28" s="60">
        <v>1</v>
      </c>
      <c r="R28" s="60"/>
      <c r="S28"/>
      <c r="T28"/>
      <c r="U28"/>
      <c r="V28" s="3">
        <f t="shared" si="0"/>
        <v>1</v>
      </c>
      <c r="W28" s="41">
        <f t="shared" si="2"/>
        <v>0.16666666666666666</v>
      </c>
      <c r="X28" s="92"/>
    </row>
    <row r="29" spans="1:29" ht="16" x14ac:dyDescent="0.4">
      <c r="A29" s="60">
        <v>27</v>
      </c>
      <c r="B29" s="87" t="s">
        <v>209</v>
      </c>
      <c r="C29" s="84"/>
      <c r="D29" s="85"/>
      <c r="E29" s="87" t="s">
        <v>95</v>
      </c>
      <c r="F29" s="90"/>
      <c r="G29" s="58"/>
      <c r="H29" s="58"/>
      <c r="I29" s="58"/>
      <c r="J29" s="58"/>
      <c r="K29" s="58"/>
      <c r="L29" s="58"/>
      <c r="M29" s="58"/>
      <c r="N29" s="58" t="s">
        <v>96</v>
      </c>
      <c r="O29" s="58" t="s">
        <v>149</v>
      </c>
      <c r="P29" s="60"/>
      <c r="Q29" s="60">
        <v>1</v>
      </c>
      <c r="R29" s="60">
        <v>1</v>
      </c>
      <c r="S29">
        <v>1</v>
      </c>
      <c r="T29">
        <v>1</v>
      </c>
      <c r="U29" s="52">
        <v>1</v>
      </c>
      <c r="V29" s="3">
        <f t="shared" si="0"/>
        <v>5</v>
      </c>
      <c r="W29" s="41">
        <f t="shared" si="2"/>
        <v>0.83333333333333337</v>
      </c>
      <c r="X29" s="92"/>
    </row>
    <row r="30" spans="1:29" ht="16" x14ac:dyDescent="0.4">
      <c r="A30" s="60">
        <v>28</v>
      </c>
      <c r="B30" s="86" t="s">
        <v>363</v>
      </c>
      <c r="C30" s="84"/>
      <c r="D30" s="85"/>
      <c r="E30" s="87" t="s">
        <v>210</v>
      </c>
      <c r="F30" s="90"/>
      <c r="G30" s="58"/>
      <c r="H30" s="58"/>
      <c r="I30" s="58"/>
      <c r="J30" s="58"/>
      <c r="K30" s="58"/>
      <c r="L30" s="58"/>
      <c r="M30" s="58"/>
      <c r="N30" s="58" t="s">
        <v>97</v>
      </c>
      <c r="O30" s="58" t="s">
        <v>149</v>
      </c>
      <c r="P30" s="60"/>
      <c r="Q30" s="60">
        <v>1</v>
      </c>
      <c r="R30" s="60">
        <v>1</v>
      </c>
      <c r="S30">
        <v>1</v>
      </c>
      <c r="T30"/>
      <c r="U30">
        <v>1</v>
      </c>
      <c r="V30" s="3">
        <f t="shared" si="0"/>
        <v>4</v>
      </c>
      <c r="W30" s="41">
        <f t="shared" si="2"/>
        <v>0.66666666666666663</v>
      </c>
      <c r="X30" s="92"/>
    </row>
    <row r="31" spans="1:29" ht="16" x14ac:dyDescent="0.4">
      <c r="A31" s="60">
        <v>29</v>
      </c>
      <c r="B31" s="83" t="s">
        <v>211</v>
      </c>
      <c r="C31" s="84"/>
      <c r="D31" s="85"/>
      <c r="E31" s="83" t="s">
        <v>210</v>
      </c>
      <c r="F31" s="90"/>
      <c r="G31" s="58"/>
      <c r="H31" s="58"/>
      <c r="I31" s="58"/>
      <c r="J31" s="58"/>
      <c r="K31" s="58"/>
      <c r="L31" s="58"/>
      <c r="M31" s="58"/>
      <c r="N31" s="58" t="s">
        <v>97</v>
      </c>
      <c r="O31" s="58" t="s">
        <v>149</v>
      </c>
      <c r="P31" s="60"/>
      <c r="Q31" s="60">
        <v>1</v>
      </c>
      <c r="R31" s="60">
        <v>1</v>
      </c>
      <c r="S31"/>
      <c r="T31"/>
      <c r="U31"/>
      <c r="V31" s="3">
        <f t="shared" si="0"/>
        <v>2</v>
      </c>
      <c r="W31" s="41">
        <f t="shared" si="2"/>
        <v>0.33333333333333331</v>
      </c>
      <c r="X31" s="92"/>
    </row>
    <row r="32" spans="1:29" ht="16" x14ac:dyDescent="0.4">
      <c r="A32" s="60">
        <v>30</v>
      </c>
      <c r="B32" s="83" t="s">
        <v>212</v>
      </c>
      <c r="C32" s="84"/>
      <c r="D32" s="85"/>
      <c r="E32" s="83" t="s">
        <v>90</v>
      </c>
      <c r="F32" s="90"/>
      <c r="G32" s="58"/>
      <c r="H32" s="58"/>
      <c r="I32" s="58"/>
      <c r="J32" s="58"/>
      <c r="K32" s="58"/>
      <c r="L32" s="58"/>
      <c r="M32" s="58"/>
      <c r="N32" s="58" t="s">
        <v>97</v>
      </c>
      <c r="O32" s="58" t="s">
        <v>149</v>
      </c>
      <c r="P32" s="60"/>
      <c r="Q32" s="60">
        <v>1</v>
      </c>
      <c r="R32" s="60">
        <v>1</v>
      </c>
      <c r="S32"/>
      <c r="T32">
        <v>1</v>
      </c>
      <c r="U32" s="52">
        <v>1</v>
      </c>
      <c r="V32" s="3">
        <f t="shared" si="0"/>
        <v>4</v>
      </c>
      <c r="W32" s="41">
        <f t="shared" si="2"/>
        <v>0.66666666666666663</v>
      </c>
      <c r="X32" s="92"/>
    </row>
    <row r="33" spans="1:25" ht="16" x14ac:dyDescent="0.4">
      <c r="A33" s="60">
        <v>31</v>
      </c>
      <c r="B33" s="83" t="s">
        <v>213</v>
      </c>
      <c r="C33" s="84"/>
      <c r="D33" s="85"/>
      <c r="E33" s="83" t="s">
        <v>218</v>
      </c>
      <c r="F33" s="90"/>
      <c r="G33" s="58"/>
      <c r="H33" s="58"/>
      <c r="I33" s="58"/>
      <c r="J33" s="58"/>
      <c r="K33" s="58"/>
      <c r="L33" s="58"/>
      <c r="M33" s="58"/>
      <c r="N33" s="58" t="s">
        <v>97</v>
      </c>
      <c r="O33" s="58" t="s">
        <v>149</v>
      </c>
      <c r="P33" s="60"/>
      <c r="Q33" s="60">
        <v>1</v>
      </c>
      <c r="R33" s="60"/>
      <c r="S33"/>
      <c r="T33"/>
      <c r="U33">
        <v>1</v>
      </c>
      <c r="V33" s="3">
        <f t="shared" si="0"/>
        <v>2</v>
      </c>
      <c r="W33" s="41">
        <f t="shared" si="2"/>
        <v>0.33333333333333331</v>
      </c>
      <c r="X33" s="92"/>
    </row>
    <row r="34" spans="1:25" ht="16" x14ac:dyDescent="0.4">
      <c r="A34" s="60">
        <v>32</v>
      </c>
      <c r="B34" s="83" t="s">
        <v>214</v>
      </c>
      <c r="C34" s="84"/>
      <c r="D34" s="85"/>
      <c r="E34" s="83" t="s">
        <v>218</v>
      </c>
      <c r="F34" s="90"/>
      <c r="G34" s="58"/>
      <c r="H34" s="58"/>
      <c r="I34" s="58"/>
      <c r="J34" s="58"/>
      <c r="K34" s="58"/>
      <c r="L34" s="58"/>
      <c r="M34" s="58"/>
      <c r="N34" s="58" t="s">
        <v>96</v>
      </c>
      <c r="O34" s="58" t="s">
        <v>149</v>
      </c>
      <c r="P34" s="60"/>
      <c r="Q34" s="60">
        <v>1</v>
      </c>
      <c r="R34" s="60"/>
      <c r="S34"/>
      <c r="T34"/>
      <c r="U34"/>
      <c r="V34" s="3">
        <f t="shared" si="0"/>
        <v>1</v>
      </c>
      <c r="W34" s="41">
        <f t="shared" si="2"/>
        <v>0.16666666666666666</v>
      </c>
      <c r="X34" s="92"/>
    </row>
    <row r="35" spans="1:25" ht="16" x14ac:dyDescent="0.4">
      <c r="A35" s="60">
        <v>33</v>
      </c>
      <c r="B35" s="83" t="s">
        <v>215</v>
      </c>
      <c r="C35" s="84"/>
      <c r="D35" s="85"/>
      <c r="E35" s="83" t="s">
        <v>218</v>
      </c>
      <c r="F35" s="90"/>
      <c r="G35" s="58"/>
      <c r="H35" s="58"/>
      <c r="I35" s="58"/>
      <c r="J35" s="58"/>
      <c r="K35" s="58"/>
      <c r="L35" s="58"/>
      <c r="M35" s="58"/>
      <c r="N35" s="58" t="s">
        <v>96</v>
      </c>
      <c r="O35" s="58" t="s">
        <v>149</v>
      </c>
      <c r="P35" s="60"/>
      <c r="Q35" s="60">
        <v>1</v>
      </c>
      <c r="R35" s="60"/>
      <c r="S35"/>
      <c r="T35"/>
      <c r="U35"/>
      <c r="V35" s="3">
        <f t="shared" si="0"/>
        <v>1</v>
      </c>
      <c r="W35" s="41">
        <f t="shared" si="2"/>
        <v>0.16666666666666666</v>
      </c>
      <c r="X35" s="92"/>
    </row>
    <row r="36" spans="1:25" ht="16" x14ac:dyDescent="0.4">
      <c r="A36" s="60">
        <v>34</v>
      </c>
      <c r="B36" s="83" t="s">
        <v>216</v>
      </c>
      <c r="C36" s="84"/>
      <c r="D36" s="85"/>
      <c r="E36" s="83" t="s">
        <v>218</v>
      </c>
      <c r="F36" s="90"/>
      <c r="G36" s="58"/>
      <c r="H36" s="58"/>
      <c r="I36" s="58"/>
      <c r="J36" s="58"/>
      <c r="K36" s="58"/>
      <c r="L36" s="58"/>
      <c r="M36" s="58"/>
      <c r="N36" s="58" t="s">
        <v>96</v>
      </c>
      <c r="O36" s="58" t="s">
        <v>149</v>
      </c>
      <c r="P36" s="60"/>
      <c r="Q36" s="60">
        <v>1</v>
      </c>
      <c r="R36" s="60"/>
      <c r="S36"/>
      <c r="T36"/>
      <c r="U36"/>
      <c r="V36" s="3">
        <f t="shared" si="0"/>
        <v>1</v>
      </c>
      <c r="W36" s="41">
        <f t="shared" si="2"/>
        <v>0.16666666666666666</v>
      </c>
      <c r="X36" s="92"/>
    </row>
    <row r="37" spans="1:25" ht="16" x14ac:dyDescent="0.4">
      <c r="A37" s="60">
        <v>35</v>
      </c>
      <c r="B37" s="83" t="s">
        <v>217</v>
      </c>
      <c r="C37" s="84"/>
      <c r="D37" s="85"/>
      <c r="E37" s="83" t="s">
        <v>218</v>
      </c>
      <c r="F37" s="90"/>
      <c r="G37" s="58"/>
      <c r="H37" s="58"/>
      <c r="I37" s="58"/>
      <c r="J37" s="58"/>
      <c r="K37" s="58"/>
      <c r="L37" s="58"/>
      <c r="M37" s="58"/>
      <c r="N37" s="58" t="s">
        <v>96</v>
      </c>
      <c r="O37" s="58" t="s">
        <v>149</v>
      </c>
      <c r="P37" s="60"/>
      <c r="Q37" s="60">
        <v>1</v>
      </c>
      <c r="R37" s="60"/>
      <c r="S37"/>
      <c r="T37"/>
      <c r="U37"/>
      <c r="V37" s="3">
        <f t="shared" si="0"/>
        <v>1</v>
      </c>
      <c r="W37" s="41">
        <f t="shared" si="2"/>
        <v>0.16666666666666666</v>
      </c>
      <c r="X37" s="92"/>
    </row>
    <row r="38" spans="1:25" ht="16" x14ac:dyDescent="0.4">
      <c r="A38" s="60">
        <v>36</v>
      </c>
      <c r="B38" s="83" t="s">
        <v>152</v>
      </c>
      <c r="C38" s="84"/>
      <c r="D38" s="85"/>
      <c r="E38" s="83" t="s">
        <v>90</v>
      </c>
      <c r="F38" s="90"/>
      <c r="G38" s="58"/>
      <c r="H38" s="58"/>
      <c r="I38" s="58"/>
      <c r="J38" s="58"/>
      <c r="K38" s="58"/>
      <c r="L38" s="58"/>
      <c r="M38" s="58"/>
      <c r="N38" s="58" t="s">
        <v>96</v>
      </c>
      <c r="O38" s="58" t="s">
        <v>149</v>
      </c>
      <c r="P38" s="60"/>
      <c r="Q38" s="60">
        <v>1</v>
      </c>
      <c r="R38" s="60"/>
      <c r="S38"/>
      <c r="T38"/>
      <c r="U38"/>
      <c r="V38" s="3">
        <f t="shared" si="0"/>
        <v>1</v>
      </c>
      <c r="W38" s="41">
        <f t="shared" si="2"/>
        <v>0.16666666666666666</v>
      </c>
      <c r="X38" s="92"/>
      <c r="Y38" s="1">
        <v>1</v>
      </c>
    </row>
    <row r="39" spans="1:25" ht="16" x14ac:dyDescent="0.4">
      <c r="A39" s="60">
        <v>37</v>
      </c>
      <c r="B39" s="83" t="s">
        <v>219</v>
      </c>
      <c r="C39" s="84"/>
      <c r="D39" s="85"/>
      <c r="E39" s="83" t="s">
        <v>90</v>
      </c>
      <c r="F39" s="90"/>
      <c r="G39" s="58"/>
      <c r="H39" s="58"/>
      <c r="I39" s="58"/>
      <c r="J39" s="58"/>
      <c r="K39" s="58"/>
      <c r="L39" s="58"/>
      <c r="M39" s="58"/>
      <c r="N39" s="58" t="s">
        <v>97</v>
      </c>
      <c r="O39" s="58" t="s">
        <v>149</v>
      </c>
      <c r="P39" s="60"/>
      <c r="Q39" s="60">
        <v>1</v>
      </c>
      <c r="R39" s="60">
        <v>1</v>
      </c>
      <c r="S39"/>
      <c r="T39">
        <v>1</v>
      </c>
      <c r="U39">
        <v>1</v>
      </c>
      <c r="V39" s="3">
        <f t="shared" si="0"/>
        <v>4</v>
      </c>
      <c r="W39" s="41">
        <f t="shared" si="2"/>
        <v>0.66666666666666663</v>
      </c>
      <c r="X39" s="92"/>
    </row>
    <row r="40" spans="1:25" ht="16" x14ac:dyDescent="0.4">
      <c r="A40" s="60">
        <v>38</v>
      </c>
      <c r="B40" s="83" t="s">
        <v>220</v>
      </c>
      <c r="C40" s="84"/>
      <c r="D40" s="85"/>
      <c r="E40" s="83" t="s">
        <v>90</v>
      </c>
      <c r="F40" s="90"/>
      <c r="G40" s="58"/>
      <c r="H40" s="58"/>
      <c r="I40" s="58"/>
      <c r="J40" s="58"/>
      <c r="K40" s="58"/>
      <c r="L40" s="58"/>
      <c r="M40" s="58"/>
      <c r="N40" s="58" t="s">
        <v>96</v>
      </c>
      <c r="O40" s="58" t="s">
        <v>149</v>
      </c>
      <c r="P40" s="60"/>
      <c r="Q40" s="60">
        <v>1</v>
      </c>
      <c r="R40" s="60">
        <v>1</v>
      </c>
      <c r="S40">
        <v>1</v>
      </c>
      <c r="T40">
        <v>1</v>
      </c>
      <c r="U40" s="52">
        <v>1</v>
      </c>
      <c r="V40" s="3">
        <f t="shared" si="0"/>
        <v>5</v>
      </c>
      <c r="W40" s="41">
        <f t="shared" si="2"/>
        <v>0.83333333333333337</v>
      </c>
      <c r="X40" s="92"/>
    </row>
    <row r="41" spans="1:25" ht="16" x14ac:dyDescent="0.4">
      <c r="A41" s="60">
        <v>39</v>
      </c>
      <c r="B41" s="83" t="s">
        <v>158</v>
      </c>
      <c r="C41" s="84"/>
      <c r="D41" s="85"/>
      <c r="E41" s="83" t="s">
        <v>90</v>
      </c>
      <c r="F41" s="90"/>
      <c r="G41" s="58"/>
      <c r="H41" s="58"/>
      <c r="I41" s="58"/>
      <c r="J41" s="58"/>
      <c r="K41" s="58"/>
      <c r="L41" s="58"/>
      <c r="M41" s="58"/>
      <c r="N41" s="58" t="s">
        <v>97</v>
      </c>
      <c r="O41" s="58" t="s">
        <v>149</v>
      </c>
      <c r="P41" s="60"/>
      <c r="Q41" s="60">
        <v>1</v>
      </c>
      <c r="R41" s="60">
        <v>1</v>
      </c>
      <c r="S41">
        <v>1</v>
      </c>
      <c r="T41">
        <v>1</v>
      </c>
      <c r="U41"/>
      <c r="V41" s="3">
        <f t="shared" si="0"/>
        <v>4</v>
      </c>
      <c r="W41" s="41">
        <f t="shared" si="2"/>
        <v>0.66666666666666663</v>
      </c>
      <c r="X41" s="92"/>
      <c r="Y41" s="1">
        <v>1</v>
      </c>
    </row>
    <row r="42" spans="1:25" ht="16" x14ac:dyDescent="0.4">
      <c r="A42" s="60">
        <v>40</v>
      </c>
      <c r="B42" s="83" t="s">
        <v>86</v>
      </c>
      <c r="C42" s="84"/>
      <c r="D42" s="85"/>
      <c r="E42" s="87" t="s">
        <v>221</v>
      </c>
      <c r="F42" s="90"/>
      <c r="G42" s="58"/>
      <c r="H42" s="58"/>
      <c r="I42" s="58"/>
      <c r="J42" s="58"/>
      <c r="K42" s="58"/>
      <c r="L42" s="58"/>
      <c r="M42" s="58"/>
      <c r="N42" s="58" t="s">
        <v>96</v>
      </c>
      <c r="O42" s="58" t="s">
        <v>149</v>
      </c>
      <c r="P42" s="60">
        <v>1</v>
      </c>
      <c r="Q42" s="60">
        <v>1</v>
      </c>
      <c r="R42" s="60"/>
      <c r="S42">
        <v>1</v>
      </c>
      <c r="T42"/>
      <c r="U42"/>
      <c r="V42" s="3">
        <f t="shared" si="0"/>
        <v>3</v>
      </c>
      <c r="W42" s="41">
        <f t="shared" si="2"/>
        <v>0.5</v>
      </c>
      <c r="X42" s="92" t="str">
        <f t="shared" si="3"/>
        <v>||||||||||||||||||</v>
      </c>
    </row>
    <row r="43" spans="1:25" s="96" customFormat="1" ht="14.5" customHeight="1" x14ac:dyDescent="0.4">
      <c r="A43" s="60">
        <v>41</v>
      </c>
      <c r="B43" s="83" t="s">
        <v>88</v>
      </c>
      <c r="C43" s="84"/>
      <c r="D43" s="85"/>
      <c r="E43" s="83" t="s">
        <v>58</v>
      </c>
      <c r="F43" s="91"/>
      <c r="G43" s="58"/>
      <c r="H43" s="58"/>
      <c r="I43" s="58"/>
      <c r="J43" s="58"/>
      <c r="K43" s="58"/>
      <c r="L43" s="58"/>
      <c r="M43" s="58"/>
      <c r="N43" s="58" t="s">
        <v>97</v>
      </c>
      <c r="O43" s="58" t="s">
        <v>179</v>
      </c>
      <c r="P43" s="60">
        <v>1</v>
      </c>
      <c r="Q43" s="60">
        <v>1</v>
      </c>
      <c r="R43" s="60">
        <v>1</v>
      </c>
      <c r="S43"/>
      <c r="T43">
        <v>1</v>
      </c>
      <c r="U43" s="52">
        <v>1</v>
      </c>
      <c r="V43" s="3">
        <f t="shared" si="0"/>
        <v>5</v>
      </c>
      <c r="W43" s="41">
        <f t="shared" si="2"/>
        <v>0.83333333333333337</v>
      </c>
      <c r="X43" s="95" t="str">
        <f t="shared" si="3"/>
        <v>||||||||||||||||||||||||||||||</v>
      </c>
      <c r="Y43" s="96">
        <v>1</v>
      </c>
    </row>
    <row r="44" spans="1:25" s="96" customFormat="1" ht="14.5" customHeight="1" x14ac:dyDescent="0.4">
      <c r="A44" s="60">
        <v>42</v>
      </c>
      <c r="B44" s="86" t="s">
        <v>350</v>
      </c>
      <c r="C44" s="84"/>
      <c r="D44" s="85"/>
      <c r="E44" s="86" t="s">
        <v>352</v>
      </c>
      <c r="F44" s="91"/>
      <c r="G44" s="58"/>
      <c r="H44" s="58"/>
      <c r="I44" s="58"/>
      <c r="J44" s="58"/>
      <c r="K44" s="58"/>
      <c r="L44" s="58"/>
      <c r="M44" s="58"/>
      <c r="N44" s="58" t="s">
        <v>97</v>
      </c>
      <c r="O44" s="58" t="s">
        <v>149</v>
      </c>
      <c r="P44" s="60"/>
      <c r="Q44" s="60"/>
      <c r="R44" s="60">
        <v>1</v>
      </c>
      <c r="S44"/>
      <c r="T44"/>
      <c r="U44"/>
      <c r="V44" s="3">
        <f t="shared" si="0"/>
        <v>1</v>
      </c>
      <c r="W44" s="41">
        <f t="shared" si="2"/>
        <v>0.16666666666666666</v>
      </c>
      <c r="X44" s="95"/>
    </row>
    <row r="45" spans="1:25" s="96" customFormat="1" ht="14.5" customHeight="1" x14ac:dyDescent="0.4">
      <c r="A45" s="60">
        <v>43</v>
      </c>
      <c r="B45" s="86" t="s">
        <v>351</v>
      </c>
      <c r="C45" s="84"/>
      <c r="D45" s="85"/>
      <c r="E45" s="86" t="s">
        <v>74</v>
      </c>
      <c r="F45" s="91"/>
      <c r="G45" s="58"/>
      <c r="H45" s="58"/>
      <c r="I45" s="58"/>
      <c r="J45" s="58"/>
      <c r="K45" s="58"/>
      <c r="L45" s="58"/>
      <c r="M45" s="58"/>
      <c r="N45" s="58" t="s">
        <v>97</v>
      </c>
      <c r="O45" s="58" t="s">
        <v>149</v>
      </c>
      <c r="P45" s="60"/>
      <c r="Q45" s="60"/>
      <c r="R45" s="60">
        <v>1</v>
      </c>
      <c r="S45"/>
      <c r="T45">
        <v>1</v>
      </c>
      <c r="U45">
        <v>1</v>
      </c>
      <c r="V45" s="3">
        <f t="shared" si="0"/>
        <v>3</v>
      </c>
      <c r="W45" s="41">
        <f t="shared" si="2"/>
        <v>0.5</v>
      </c>
      <c r="X45" s="95"/>
    </row>
    <row r="46" spans="1:25" s="96" customFormat="1" ht="14.5" customHeight="1" x14ac:dyDescent="0.4">
      <c r="A46" s="60">
        <v>44</v>
      </c>
      <c r="B46" s="86" t="s">
        <v>353</v>
      </c>
      <c r="C46" s="84"/>
      <c r="D46" s="85"/>
      <c r="E46" s="86" t="s">
        <v>354</v>
      </c>
      <c r="F46" s="91"/>
      <c r="G46" s="58"/>
      <c r="H46" s="58"/>
      <c r="I46" s="58"/>
      <c r="J46" s="58"/>
      <c r="K46" s="58"/>
      <c r="L46" s="58"/>
      <c r="M46" s="58"/>
      <c r="N46" s="58" t="s">
        <v>97</v>
      </c>
      <c r="O46" s="58" t="s">
        <v>149</v>
      </c>
      <c r="P46" s="60"/>
      <c r="Q46" s="60"/>
      <c r="R46" s="60">
        <v>1</v>
      </c>
      <c r="S46"/>
      <c r="T46"/>
      <c r="U46"/>
      <c r="V46" s="3">
        <f t="shared" si="0"/>
        <v>1</v>
      </c>
      <c r="W46" s="41">
        <f t="shared" si="2"/>
        <v>0.16666666666666666</v>
      </c>
      <c r="X46" s="95"/>
    </row>
    <row r="47" spans="1:25" s="96" customFormat="1" ht="14.5" customHeight="1" x14ac:dyDescent="0.4">
      <c r="A47" s="60">
        <v>45</v>
      </c>
      <c r="B47" s="86" t="s">
        <v>233</v>
      </c>
      <c r="C47" s="84"/>
      <c r="D47" s="85"/>
      <c r="E47" s="86" t="s">
        <v>354</v>
      </c>
      <c r="F47" s="91"/>
      <c r="G47" s="58"/>
      <c r="H47" s="58"/>
      <c r="I47" s="58"/>
      <c r="J47" s="58"/>
      <c r="K47" s="58"/>
      <c r="L47" s="58"/>
      <c r="M47" s="58"/>
      <c r="N47" s="58" t="s">
        <v>96</v>
      </c>
      <c r="O47" s="58" t="s">
        <v>149</v>
      </c>
      <c r="P47" s="60"/>
      <c r="Q47" s="60"/>
      <c r="R47" s="60">
        <v>1</v>
      </c>
      <c r="S47"/>
      <c r="T47"/>
      <c r="U47"/>
      <c r="V47" s="3">
        <f t="shared" si="0"/>
        <v>1</v>
      </c>
      <c r="W47" s="41">
        <f t="shared" si="2"/>
        <v>0.16666666666666666</v>
      </c>
      <c r="X47" s="95"/>
    </row>
    <row r="48" spans="1:25" s="96" customFormat="1" ht="14.5" customHeight="1" x14ac:dyDescent="0.4">
      <c r="A48" s="60">
        <v>46</v>
      </c>
      <c r="B48" s="86" t="s">
        <v>355</v>
      </c>
      <c r="C48" s="84"/>
      <c r="D48" s="85"/>
      <c r="E48" s="86" t="s">
        <v>354</v>
      </c>
      <c r="F48" s="91"/>
      <c r="G48" s="58"/>
      <c r="H48" s="58"/>
      <c r="I48" s="58"/>
      <c r="J48" s="58"/>
      <c r="K48" s="58"/>
      <c r="L48" s="58"/>
      <c r="M48" s="58"/>
      <c r="N48" s="58" t="s">
        <v>97</v>
      </c>
      <c r="O48" s="58" t="s">
        <v>149</v>
      </c>
      <c r="P48" s="60"/>
      <c r="Q48" s="60"/>
      <c r="R48" s="60">
        <v>1</v>
      </c>
      <c r="S48"/>
      <c r="T48"/>
      <c r="U48"/>
      <c r="V48" s="3">
        <f t="shared" si="0"/>
        <v>1</v>
      </c>
      <c r="W48" s="41">
        <f t="shared" si="2"/>
        <v>0.16666666666666666</v>
      </c>
      <c r="X48" s="95"/>
    </row>
    <row r="49" spans="1:25" s="96" customFormat="1" ht="14.5" customHeight="1" x14ac:dyDescent="0.4">
      <c r="A49" s="60">
        <v>47</v>
      </c>
      <c r="B49" s="86" t="s">
        <v>356</v>
      </c>
      <c r="C49" s="84"/>
      <c r="D49" s="85"/>
      <c r="E49" s="86" t="s">
        <v>354</v>
      </c>
      <c r="F49" s="91"/>
      <c r="G49" s="58"/>
      <c r="H49" s="58"/>
      <c r="I49" s="58"/>
      <c r="J49" s="58"/>
      <c r="K49" s="58"/>
      <c r="L49" s="58"/>
      <c r="M49" s="58"/>
      <c r="N49" s="58" t="s">
        <v>97</v>
      </c>
      <c r="O49" s="58" t="s">
        <v>149</v>
      </c>
      <c r="P49" s="60"/>
      <c r="Q49" s="60"/>
      <c r="R49" s="60"/>
      <c r="S49"/>
      <c r="T49"/>
      <c r="U49"/>
      <c r="V49" s="3">
        <f t="shared" si="0"/>
        <v>0</v>
      </c>
      <c r="W49" s="41">
        <f t="shared" si="2"/>
        <v>0</v>
      </c>
      <c r="X49" s="95"/>
    </row>
    <row r="50" spans="1:25" s="96" customFormat="1" ht="14.5" customHeight="1" x14ac:dyDescent="0.4">
      <c r="A50" s="60">
        <v>48</v>
      </c>
      <c r="B50" s="86" t="s">
        <v>364</v>
      </c>
      <c r="C50" s="84"/>
      <c r="D50" s="85"/>
      <c r="E50" s="86" t="s">
        <v>76</v>
      </c>
      <c r="F50" s="91"/>
      <c r="G50" s="58"/>
      <c r="H50" s="58"/>
      <c r="I50" s="58"/>
      <c r="J50" s="58"/>
      <c r="K50" s="58"/>
      <c r="L50" s="58"/>
      <c r="M50" s="58"/>
      <c r="N50" s="58" t="s">
        <v>96</v>
      </c>
      <c r="O50" s="58" t="s">
        <v>149</v>
      </c>
      <c r="P50" s="60"/>
      <c r="Q50" s="60"/>
      <c r="R50" s="60">
        <v>1</v>
      </c>
      <c r="S50"/>
      <c r="T50"/>
      <c r="U50"/>
      <c r="V50" s="3">
        <f t="shared" si="0"/>
        <v>1</v>
      </c>
      <c r="W50" s="41">
        <f t="shared" si="2"/>
        <v>0.16666666666666666</v>
      </c>
      <c r="X50" s="95"/>
    </row>
    <row r="51" spans="1:25" s="96" customFormat="1" ht="14.5" customHeight="1" x14ac:dyDescent="0.4">
      <c r="A51" s="60">
        <v>49</v>
      </c>
      <c r="B51" s="86" t="s">
        <v>357</v>
      </c>
      <c r="C51" s="84"/>
      <c r="D51" s="85"/>
      <c r="E51" s="86" t="s">
        <v>354</v>
      </c>
      <c r="F51" s="91"/>
      <c r="G51" s="58"/>
      <c r="H51" s="58"/>
      <c r="I51" s="58"/>
      <c r="J51" s="58"/>
      <c r="K51" s="58"/>
      <c r="L51" s="58"/>
      <c r="M51" s="58"/>
      <c r="N51" s="58" t="s">
        <v>97</v>
      </c>
      <c r="O51" s="58" t="s">
        <v>149</v>
      </c>
      <c r="P51" s="60"/>
      <c r="Q51" s="60"/>
      <c r="R51" s="60"/>
      <c r="S51"/>
      <c r="T51"/>
      <c r="U51"/>
      <c r="V51" s="3">
        <f t="shared" si="0"/>
        <v>0</v>
      </c>
      <c r="W51" s="41">
        <f t="shared" si="2"/>
        <v>0</v>
      </c>
      <c r="X51" s="95"/>
    </row>
    <row r="52" spans="1:25" s="96" customFormat="1" ht="14.5" customHeight="1" x14ac:dyDescent="0.4">
      <c r="A52" s="60">
        <v>50</v>
      </c>
      <c r="B52" s="86" t="s">
        <v>358</v>
      </c>
      <c r="C52" s="84"/>
      <c r="D52" s="85"/>
      <c r="E52" s="86" t="s">
        <v>359</v>
      </c>
      <c r="F52" s="91"/>
      <c r="G52" s="58"/>
      <c r="H52" s="58"/>
      <c r="I52" s="58"/>
      <c r="J52" s="58"/>
      <c r="K52" s="58"/>
      <c r="L52" s="58"/>
      <c r="M52" s="58"/>
      <c r="N52" s="58" t="s">
        <v>96</v>
      </c>
      <c r="O52" s="58" t="s">
        <v>149</v>
      </c>
      <c r="P52" s="60"/>
      <c r="Q52" s="60"/>
      <c r="R52" s="60">
        <v>1</v>
      </c>
      <c r="S52"/>
      <c r="T52"/>
      <c r="U52"/>
      <c r="V52" s="3">
        <f t="shared" si="0"/>
        <v>1</v>
      </c>
      <c r="W52" s="41">
        <f t="shared" si="2"/>
        <v>0.16666666666666666</v>
      </c>
      <c r="X52" s="95"/>
    </row>
    <row r="53" spans="1:25" s="96" customFormat="1" ht="14.5" customHeight="1" x14ac:dyDescent="0.4">
      <c r="A53" s="60">
        <v>51</v>
      </c>
      <c r="B53" s="86" t="s">
        <v>360</v>
      </c>
      <c r="C53" s="84"/>
      <c r="D53" s="85"/>
      <c r="E53" s="86" t="s">
        <v>95</v>
      </c>
      <c r="F53" s="91"/>
      <c r="G53" s="58"/>
      <c r="H53" s="58"/>
      <c r="I53" s="58"/>
      <c r="J53" s="58"/>
      <c r="K53" s="58"/>
      <c r="L53" s="58"/>
      <c r="M53" s="58"/>
      <c r="N53" s="58" t="s">
        <v>96</v>
      </c>
      <c r="O53" s="58" t="s">
        <v>149</v>
      </c>
      <c r="P53" s="60"/>
      <c r="Q53" s="60"/>
      <c r="R53" s="60">
        <v>1</v>
      </c>
      <c r="S53">
        <v>1</v>
      </c>
      <c r="T53">
        <v>1</v>
      </c>
      <c r="U53"/>
      <c r="V53" s="3">
        <f t="shared" si="0"/>
        <v>3</v>
      </c>
      <c r="W53" s="41">
        <f t="shared" si="2"/>
        <v>0.5</v>
      </c>
      <c r="X53" s="95"/>
    </row>
    <row r="54" spans="1:25" s="96" customFormat="1" ht="14.5" customHeight="1" x14ac:dyDescent="0.4">
      <c r="A54" s="60">
        <v>52</v>
      </c>
      <c r="B54" s="86" t="s">
        <v>361</v>
      </c>
      <c r="C54" s="84"/>
      <c r="D54" s="85"/>
      <c r="E54" s="86" t="s">
        <v>352</v>
      </c>
      <c r="F54" s="91"/>
      <c r="G54" s="58"/>
      <c r="H54" s="58"/>
      <c r="I54" s="58"/>
      <c r="J54" s="58"/>
      <c r="K54" s="58"/>
      <c r="L54" s="58"/>
      <c r="M54" s="58"/>
      <c r="N54" s="58" t="s">
        <v>97</v>
      </c>
      <c r="O54" s="58" t="s">
        <v>149</v>
      </c>
      <c r="P54" s="60"/>
      <c r="Q54" s="60"/>
      <c r="R54" s="60">
        <v>1</v>
      </c>
      <c r="S54" s="60"/>
      <c r="T54" s="58">
        <v>1</v>
      </c>
      <c r="U54"/>
      <c r="V54" s="3">
        <f t="shared" si="0"/>
        <v>2</v>
      </c>
      <c r="W54" s="41">
        <f t="shared" si="2"/>
        <v>0.33333333333333331</v>
      </c>
      <c r="X54" s="95"/>
    </row>
    <row r="55" spans="1:25" s="96" customFormat="1" ht="14.5" customHeight="1" x14ac:dyDescent="0.4">
      <c r="A55" s="60">
        <v>53</v>
      </c>
      <c r="B55" s="86" t="s">
        <v>166</v>
      </c>
      <c r="C55" s="84"/>
      <c r="D55" s="85"/>
      <c r="E55" s="86" t="s">
        <v>95</v>
      </c>
      <c r="F55" s="91"/>
      <c r="G55" s="58"/>
      <c r="H55" s="58"/>
      <c r="I55" s="58"/>
      <c r="J55" s="58"/>
      <c r="K55" s="58"/>
      <c r="L55" s="58"/>
      <c r="M55" s="58"/>
      <c r="N55" s="58" t="s">
        <v>96</v>
      </c>
      <c r="O55" s="58" t="s">
        <v>149</v>
      </c>
      <c r="P55" s="60"/>
      <c r="Q55" s="60"/>
      <c r="R55" s="60">
        <v>1</v>
      </c>
      <c r="S55" s="60"/>
      <c r="T55" s="58">
        <v>1</v>
      </c>
      <c r="U55">
        <v>1</v>
      </c>
      <c r="V55" s="3">
        <f t="shared" si="0"/>
        <v>3</v>
      </c>
      <c r="W55" s="41">
        <f t="shared" si="2"/>
        <v>0.5</v>
      </c>
      <c r="X55" s="95"/>
    </row>
    <row r="56" spans="1:25" ht="16" x14ac:dyDescent="0.4">
      <c r="A56" s="60">
        <v>54</v>
      </c>
      <c r="B56" s="115" t="s">
        <v>635</v>
      </c>
      <c r="C56" s="84"/>
      <c r="D56" s="85"/>
      <c r="E56" s="116" t="s">
        <v>76</v>
      </c>
      <c r="F56" s="91"/>
      <c r="G56" s="58"/>
      <c r="H56" s="58"/>
      <c r="I56" s="58"/>
      <c r="J56" s="58"/>
      <c r="K56" s="58"/>
      <c r="L56" s="58"/>
      <c r="M56" s="58"/>
      <c r="N56" s="58" t="s">
        <v>96</v>
      </c>
      <c r="O56" s="58" t="s">
        <v>149</v>
      </c>
      <c r="P56" s="60"/>
      <c r="Q56" s="60"/>
      <c r="R56" s="60"/>
      <c r="S56" s="60"/>
      <c r="T56" s="58"/>
      <c r="U56" s="58">
        <v>1</v>
      </c>
      <c r="V56" s="3">
        <f t="shared" si="0"/>
        <v>1</v>
      </c>
      <c r="W56" s="41">
        <f t="shared" si="2"/>
        <v>0.16666666666666666</v>
      </c>
      <c r="X56" s="92"/>
      <c r="Y56" s="1">
        <v>1</v>
      </c>
    </row>
    <row r="57" spans="1:25" ht="14.5" customHeight="1" x14ac:dyDescent="0.4">
      <c r="A57" s="60">
        <v>55</v>
      </c>
      <c r="B57" s="115" t="s">
        <v>581</v>
      </c>
      <c r="E57" s="114" t="s">
        <v>71</v>
      </c>
      <c r="F57" s="48"/>
      <c r="N57" s="1" t="s">
        <v>96</v>
      </c>
      <c r="O57" s="58" t="s">
        <v>149</v>
      </c>
      <c r="R57" s="3"/>
      <c r="S57" s="3"/>
      <c r="U57" s="1">
        <v>1</v>
      </c>
      <c r="V57" s="3">
        <f t="shared" si="0"/>
        <v>1</v>
      </c>
      <c r="W57" s="41">
        <f t="shared" si="2"/>
        <v>0.16666666666666666</v>
      </c>
      <c r="X57" s="92" t="str">
        <f>REPT("||||||",V57)</f>
        <v>||||||</v>
      </c>
    </row>
    <row r="58" spans="1:25" ht="14.5" customHeight="1" x14ac:dyDescent="0.4">
      <c r="A58" s="60">
        <v>56</v>
      </c>
      <c r="B58" s="115" t="s">
        <v>636</v>
      </c>
      <c r="E58" s="114" t="s">
        <v>69</v>
      </c>
      <c r="F58" s="48"/>
      <c r="N58" s="1" t="s">
        <v>96</v>
      </c>
      <c r="O58" s="58" t="s">
        <v>149</v>
      </c>
      <c r="R58" s="3"/>
      <c r="S58" s="3"/>
      <c r="U58" s="1">
        <v>1</v>
      </c>
      <c r="V58" s="3">
        <f t="shared" si="0"/>
        <v>1</v>
      </c>
      <c r="W58" s="41">
        <f t="shared" si="2"/>
        <v>0.16666666666666666</v>
      </c>
      <c r="X58" s="92"/>
    </row>
    <row r="59" spans="1:25" ht="14.5" customHeight="1" x14ac:dyDescent="0.4">
      <c r="A59" s="60">
        <v>57</v>
      </c>
      <c r="B59" s="115" t="s">
        <v>637</v>
      </c>
      <c r="E59" s="114" t="s">
        <v>69</v>
      </c>
      <c r="F59" s="48"/>
      <c r="N59" s="1" t="s">
        <v>96</v>
      </c>
      <c r="O59" s="58" t="s">
        <v>149</v>
      </c>
      <c r="R59" s="3"/>
      <c r="S59" s="3"/>
      <c r="U59" s="1">
        <v>1</v>
      </c>
      <c r="V59" s="3">
        <f t="shared" si="0"/>
        <v>1</v>
      </c>
      <c r="W59" s="41">
        <f t="shared" si="2"/>
        <v>0.16666666666666666</v>
      </c>
      <c r="X59" s="92"/>
    </row>
    <row r="60" spans="1:25" ht="14.5" customHeight="1" x14ac:dyDescent="0.4">
      <c r="A60" s="60">
        <v>58</v>
      </c>
      <c r="B60" s="115" t="s">
        <v>638</v>
      </c>
      <c r="E60" s="114" t="s">
        <v>69</v>
      </c>
      <c r="F60" s="48"/>
      <c r="N60" s="1" t="s">
        <v>97</v>
      </c>
      <c r="O60" s="58" t="s">
        <v>149</v>
      </c>
      <c r="R60" s="3"/>
      <c r="S60" s="3"/>
      <c r="U60" s="1">
        <v>1</v>
      </c>
      <c r="V60" s="3">
        <f t="shared" si="0"/>
        <v>1</v>
      </c>
      <c r="W60" s="41">
        <f t="shared" si="2"/>
        <v>0.16666666666666666</v>
      </c>
      <c r="X60" s="92"/>
    </row>
    <row r="61" spans="1:25" ht="14.5" customHeight="1" x14ac:dyDescent="0.4">
      <c r="A61" s="60">
        <v>59</v>
      </c>
      <c r="B61" s="115" t="s">
        <v>639</v>
      </c>
      <c r="E61" s="114" t="s">
        <v>163</v>
      </c>
      <c r="F61" s="48"/>
      <c r="N61" s="1" t="s">
        <v>96</v>
      </c>
      <c r="O61" s="58" t="s">
        <v>149</v>
      </c>
      <c r="R61" s="3"/>
      <c r="S61" s="3"/>
      <c r="U61" s="1">
        <v>1</v>
      </c>
      <c r="V61" s="3">
        <f t="shared" si="0"/>
        <v>1</v>
      </c>
      <c r="W61" s="41">
        <f t="shared" si="2"/>
        <v>0.16666666666666666</v>
      </c>
      <c r="X61" s="92"/>
    </row>
    <row r="62" spans="1:25" ht="14.5" customHeight="1" x14ac:dyDescent="0.4">
      <c r="B62" s="97"/>
      <c r="E62" s="97"/>
      <c r="F62" s="48"/>
      <c r="R62" s="3"/>
      <c r="S62" s="3"/>
      <c r="W62" s="41"/>
      <c r="X62" s="92"/>
    </row>
    <row r="63" spans="1:25" x14ac:dyDescent="0.35">
      <c r="P63" s="3">
        <f t="shared" ref="P63:T63" si="4">SUM(P3:P57)</f>
        <v>27</v>
      </c>
      <c r="Q63" s="3">
        <f t="shared" si="4"/>
        <v>32</v>
      </c>
      <c r="R63" s="3">
        <f t="shared" si="4"/>
        <v>37</v>
      </c>
      <c r="S63" s="3">
        <f t="shared" si="4"/>
        <v>18</v>
      </c>
      <c r="T63" s="3">
        <f t="shared" si="4"/>
        <v>29</v>
      </c>
      <c r="U63" s="3">
        <f>SUM(U3:U61)</f>
        <v>35</v>
      </c>
      <c r="V63" s="3">
        <f t="shared" ref="V63" si="5">SUM(V3:V43)</f>
        <v>155</v>
      </c>
      <c r="Y63" s="3">
        <f>SUM(Y3:Y57)</f>
        <v>9</v>
      </c>
    </row>
    <row r="64" spans="1:25" x14ac:dyDescent="0.35">
      <c r="O64" s="98" t="s">
        <v>489</v>
      </c>
      <c r="P64" s="3">
        <v>1</v>
      </c>
      <c r="Q64" s="3">
        <v>1</v>
      </c>
      <c r="R64" s="1">
        <v>1</v>
      </c>
      <c r="S64" s="1">
        <v>0</v>
      </c>
      <c r="T64" s="1">
        <v>1</v>
      </c>
      <c r="U64" s="1">
        <v>1</v>
      </c>
    </row>
    <row r="65" spans="2:23" ht="43.5" x14ac:dyDescent="0.35">
      <c r="V65" s="99" t="s">
        <v>31</v>
      </c>
      <c r="W65" s="94">
        <f>COUNTIF(W3:W27,"&gt;=80%")</f>
        <v>16</v>
      </c>
    </row>
    <row r="66" spans="2:23" ht="43.5" x14ac:dyDescent="0.35">
      <c r="C66" s="29" t="s">
        <v>181</v>
      </c>
      <c r="D66" s="30">
        <v>1</v>
      </c>
      <c r="V66" s="99" t="s">
        <v>51</v>
      </c>
      <c r="W66" s="94">
        <f>COUNTIF(W3:W27,"&gt;=50%")</f>
        <v>21</v>
      </c>
    </row>
    <row r="67" spans="2:23" ht="58" x14ac:dyDescent="0.35">
      <c r="B67" s="1" t="s">
        <v>179</v>
      </c>
      <c r="C67" s="29" t="s">
        <v>182</v>
      </c>
      <c r="D67" s="30">
        <v>1</v>
      </c>
      <c r="E67" s="1" t="s">
        <v>96</v>
      </c>
      <c r="F67" s="1">
        <f>COUNTIFS($N$3:$N$61,E67,$O$3:$O$61,B67)</f>
        <v>2</v>
      </c>
      <c r="V67" s="99" t="s">
        <v>52</v>
      </c>
      <c r="W67" s="94">
        <f>COUNTIF(V3:V27,"&gt;=4")</f>
        <v>20</v>
      </c>
    </row>
    <row r="68" spans="2:23" ht="58" x14ac:dyDescent="0.35">
      <c r="B68" s="1" t="s">
        <v>179</v>
      </c>
      <c r="C68" s="29" t="s">
        <v>181</v>
      </c>
      <c r="D68" s="30">
        <v>73</v>
      </c>
      <c r="E68" s="1" t="s">
        <v>97</v>
      </c>
      <c r="F68" s="1">
        <f>COUNTIFS($N$3:$N$61,E68,$O$3:$O$61,B68)-1</f>
        <v>0</v>
      </c>
      <c r="V68" s="99" t="s">
        <v>53</v>
      </c>
      <c r="W68" s="94">
        <f>COUNTIF(V3:V27,"&gt;=3")</f>
        <v>21</v>
      </c>
    </row>
    <row r="69" spans="2:23" x14ac:dyDescent="0.35">
      <c r="B69" s="1" t="s">
        <v>149</v>
      </c>
      <c r="C69" s="29" t="s">
        <v>182</v>
      </c>
      <c r="D69" s="30">
        <v>10</v>
      </c>
      <c r="E69" s="1" t="s">
        <v>96</v>
      </c>
      <c r="F69" s="1">
        <f>COUNTIFS($N$3:$N$61,E69,$O$3:$O$61,B69)</f>
        <v>36</v>
      </c>
    </row>
    <row r="70" spans="2:23" x14ac:dyDescent="0.35">
      <c r="B70" s="1" t="s">
        <v>149</v>
      </c>
      <c r="E70" s="1" t="s">
        <v>97</v>
      </c>
      <c r="F70" s="1">
        <f>COUNTIFS($N$3:$N$61,E70,$O$3:$O$61,B70)</f>
        <v>20</v>
      </c>
    </row>
    <row r="73" spans="2:23" x14ac:dyDescent="0.35">
      <c r="C73" s="29" t="s">
        <v>181</v>
      </c>
      <c r="D73" s="30">
        <v>1</v>
      </c>
    </row>
    <row r="74" spans="2:23" x14ac:dyDescent="0.35">
      <c r="C74" s="29" t="s">
        <v>182</v>
      </c>
      <c r="D74" s="30">
        <v>1</v>
      </c>
    </row>
    <row r="75" spans="2:23" x14ac:dyDescent="0.35">
      <c r="C75" s="29" t="s">
        <v>181</v>
      </c>
      <c r="D75" s="30">
        <v>73</v>
      </c>
    </row>
    <row r="76" spans="2:23" x14ac:dyDescent="0.35">
      <c r="C76" s="29" t="s">
        <v>182</v>
      </c>
      <c r="D76" s="30">
        <v>10</v>
      </c>
    </row>
  </sheetData>
  <autoFilter ref="A2:AC63" xr:uid="{28A2F562-AE37-4B45-83F3-D4614AF9D8E5}">
    <sortState xmlns:xlrd2="http://schemas.microsoft.com/office/spreadsheetml/2017/richdata2" ref="A4:AC45">
      <sortCondition ref="B2"/>
    </sortState>
  </autoFilter>
  <mergeCells count="15">
    <mergeCell ref="M1:M2"/>
    <mergeCell ref="X1:X2"/>
    <mergeCell ref="A1:A2"/>
    <mergeCell ref="B1:B2"/>
    <mergeCell ref="O1:O2"/>
    <mergeCell ref="P1:U1"/>
    <mergeCell ref="D1:D2"/>
    <mergeCell ref="N1:N2"/>
    <mergeCell ref="G1:G2"/>
    <mergeCell ref="H1:H2"/>
    <mergeCell ref="I1:I2"/>
    <mergeCell ref="K1:K2"/>
    <mergeCell ref="L1:L2"/>
    <mergeCell ref="C1:C2"/>
    <mergeCell ref="J1:J2"/>
  </mergeCells>
  <conditionalFormatting sqref="A1:M1 A1:B2 D1:F2 N1:W2 A3:W3 A4:N5 V4:W62 B6:N21 B56:D56 F56:N56 P56:U56">
    <cfRule type="expression" dxfId="106" priority="35">
      <formula>MOD(ROW(),2)=0</formula>
    </cfRule>
  </conditionalFormatting>
  <conditionalFormatting sqref="A1:U56 O56:O61 A57:A61">
    <cfRule type="expression" dxfId="105" priority="6">
      <formula>MOD(ROW(),2)=0</formula>
    </cfRule>
  </conditionalFormatting>
  <conditionalFormatting sqref="A1:W3 A4:N5 Q4:U13 B6:N21 A6:A62 N43:N56 P55:R55 B55:D56 P56:U56 V4:W62">
    <cfRule type="expression" dxfId="104" priority="29">
      <formula>MOD(ROW(),2)=0</formula>
    </cfRule>
  </conditionalFormatting>
  <conditionalFormatting sqref="A1:W3 A4:N5 Q4:U42 P4:P55 V4:W62 B6:N21 A6:A62 N43:N55 P55:R55 B55:D56 F55:N56 P56:U56 F22:N42 O4:O62 B22:D42 E23:E62">
    <cfRule type="expression" dxfId="103" priority="30">
      <formula>MOD(ROW(),2)=0</formula>
    </cfRule>
  </conditionalFormatting>
  <conditionalFormatting sqref="B67:B68">
    <cfRule type="expression" dxfId="102" priority="20">
      <formula>MOD(ROW(),2)=0</formula>
    </cfRule>
    <cfRule type="expression" dxfId="101" priority="21">
      <formula>MOD(ROW(),2)=0</formula>
    </cfRule>
  </conditionalFormatting>
  <conditionalFormatting sqref="B67:B70">
    <cfRule type="expression" dxfId="100" priority="9">
      <formula>MOD(ROW(),2)=0</formula>
    </cfRule>
  </conditionalFormatting>
  <conditionalFormatting sqref="B69">
    <cfRule type="expression" dxfId="99" priority="7">
      <formula>MOD(ROW(),2)=0</formula>
    </cfRule>
    <cfRule type="expression" dxfId="98" priority="8">
      <formula>MOD(ROW(),2)=0</formula>
    </cfRule>
  </conditionalFormatting>
  <conditionalFormatting sqref="B70">
    <cfRule type="expression" dxfId="97" priority="11">
      <formula>MOD(ROW(),2)=0</formula>
    </cfRule>
    <cfRule type="expression" dxfId="96" priority="12">
      <formula>MOD(ROW(),2)=0</formula>
    </cfRule>
  </conditionalFormatting>
  <conditionalFormatting sqref="B55:D55 P55:R55">
    <cfRule type="expression" dxfId="95" priority="5">
      <formula>MOD(ROW(),2)=0</formula>
    </cfRule>
  </conditionalFormatting>
  <conditionalFormatting sqref="D4:I7 D8:D10 F8:I10 E8:E12">
    <cfRule type="expression" dxfId="94" priority="36">
      <formula>MOD(ROW(),2)=0</formula>
    </cfRule>
  </conditionalFormatting>
  <conditionalFormatting sqref="E3">
    <cfRule type="expression" dxfId="93" priority="3">
      <formula>MOD(ROW(),2)=0</formula>
    </cfRule>
  </conditionalFormatting>
  <conditionalFormatting sqref="F55:N55">
    <cfRule type="expression" dxfId="92" priority="4">
      <formula>MOD(ROW(),2)=0</formula>
    </cfRule>
  </conditionalFormatting>
  <conditionalFormatting sqref="F56:N56">
    <cfRule type="expression" dxfId="91" priority="22">
      <formula>MOD(ROW(),2)=0</formula>
    </cfRule>
  </conditionalFormatting>
  <conditionalFormatting sqref="H11:H13">
    <cfRule type="expression" dxfId="90" priority="28">
      <formula>MOD(ROW(),2)=0</formula>
    </cfRule>
  </conditionalFormatting>
  <conditionalFormatting sqref="H15:H16">
    <cfRule type="expression" dxfId="89" priority="26">
      <formula>MOD(ROW(),2)=0</formula>
    </cfRule>
  </conditionalFormatting>
  <conditionalFormatting sqref="H18:H22">
    <cfRule type="expression" dxfId="88" priority="23">
      <formula>MOD(ROW(),2)=0</formula>
    </cfRule>
  </conditionalFormatting>
  <conditionalFormatting sqref="N56">
    <cfRule type="expression" dxfId="87" priority="1">
      <formula>MOD(ROW(),2)=0</formula>
    </cfRule>
  </conditionalFormatting>
  <conditionalFormatting sqref="Q4:U42 P4:P55 O4:O62 B6:C42 A6:A63 B22:D42 F22:N42 E23:E62 D43:N55 R43:U55 D57:M63 R57:U62">
    <cfRule type="expression" dxfId="86" priority="31">
      <formula>MOD(ROW(),2)=0</formula>
    </cfRule>
  </conditionalFormatting>
  <pageMargins left="0.7" right="0.7" top="0.75" bottom="0.75" header="0.3" footer="0.3"/>
  <pageSetup paperSize="9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5568-2FC1-4093-80BB-C5E63953A76D}">
  <sheetPr>
    <tabColor rgb="FFFFC000"/>
  </sheetPr>
  <dimension ref="A1:V71"/>
  <sheetViews>
    <sheetView topLeftCell="B1" zoomScale="85" zoomScaleNormal="85" workbookViewId="0">
      <pane ySplit="2" topLeftCell="A3" activePane="bottomLeft" state="frozen"/>
      <selection pane="bottomLeft" activeCell="E68" sqref="E68:E71"/>
    </sheetView>
  </sheetViews>
  <sheetFormatPr defaultRowHeight="14.5" x14ac:dyDescent="0.35"/>
  <cols>
    <col min="1" max="1" width="8.7265625" style="18"/>
    <col min="2" max="2" width="25.54296875" customWidth="1"/>
    <col min="3" max="4" width="11.90625" customWidth="1"/>
    <col min="5" max="5" width="14.7265625" customWidth="1"/>
    <col min="6" max="6" width="10.36328125" customWidth="1"/>
    <col min="7" max="7" width="14.453125" customWidth="1"/>
    <col min="8" max="8" width="10.1796875" style="4" customWidth="1"/>
    <col min="9" max="9" width="10" style="4" customWidth="1"/>
    <col min="10" max="10" width="10.1796875" style="4" customWidth="1"/>
    <col min="11" max="11" width="11.1796875" style="4" customWidth="1"/>
    <col min="12" max="13" width="9.7265625" style="4" customWidth="1"/>
    <col min="14" max="15" width="14.81640625" style="4" customWidth="1"/>
    <col min="16" max="17" width="11.81640625" customWidth="1"/>
  </cols>
  <sheetData>
    <row r="1" spans="1:22" x14ac:dyDescent="0.35">
      <c r="A1" s="134"/>
      <c r="B1" s="134" t="s">
        <v>13</v>
      </c>
      <c r="C1" s="14"/>
      <c r="D1" s="14"/>
      <c r="E1" s="138" t="s">
        <v>16</v>
      </c>
      <c r="F1" s="138" t="s">
        <v>18</v>
      </c>
      <c r="G1" s="138" t="s">
        <v>19</v>
      </c>
      <c r="H1" s="135" t="s">
        <v>20</v>
      </c>
      <c r="I1" s="135"/>
      <c r="J1" s="135"/>
      <c r="K1" s="135"/>
      <c r="L1" s="135"/>
      <c r="M1" s="6"/>
      <c r="N1" s="9"/>
      <c r="O1" s="9"/>
      <c r="P1" s="133" t="s">
        <v>22</v>
      </c>
      <c r="Q1" s="102"/>
    </row>
    <row r="2" spans="1:22" ht="29" x14ac:dyDescent="0.35">
      <c r="A2" s="134"/>
      <c r="B2" s="134"/>
      <c r="C2" s="15" t="s">
        <v>46</v>
      </c>
      <c r="D2" s="15"/>
      <c r="E2" s="139"/>
      <c r="F2" s="139"/>
      <c r="G2" s="139"/>
      <c r="H2" s="7">
        <v>46127</v>
      </c>
      <c r="I2" s="7">
        <v>46141</v>
      </c>
      <c r="J2" s="7" t="s">
        <v>309</v>
      </c>
      <c r="K2" s="7" t="s">
        <v>463</v>
      </c>
      <c r="L2" s="7">
        <v>46194</v>
      </c>
      <c r="M2" s="7">
        <v>46211</v>
      </c>
      <c r="N2" s="9" t="s">
        <v>23</v>
      </c>
      <c r="O2" s="9" t="s">
        <v>24</v>
      </c>
      <c r="P2" s="133"/>
      <c r="Q2" s="102" t="s">
        <v>491</v>
      </c>
      <c r="U2" t="s">
        <v>25</v>
      </c>
    </row>
    <row r="3" spans="1:22" ht="16" x14ac:dyDescent="0.4">
      <c r="A3" s="17">
        <v>1</v>
      </c>
      <c r="B3" t="s">
        <v>185</v>
      </c>
      <c r="C3" t="s">
        <v>186</v>
      </c>
      <c r="D3" t="s">
        <v>470</v>
      </c>
      <c r="E3" s="1"/>
      <c r="F3" s="1" t="s">
        <v>96</v>
      </c>
      <c r="G3" s="1" t="s">
        <v>149</v>
      </c>
      <c r="H3" s="3">
        <v>1</v>
      </c>
      <c r="I3" s="3">
        <v>1</v>
      </c>
      <c r="J3" s="3">
        <v>1</v>
      </c>
      <c r="K3">
        <v>1</v>
      </c>
      <c r="L3"/>
      <c r="M3"/>
      <c r="N3" s="3">
        <f t="shared" ref="N3" si="0">SUM(H3:L3)</f>
        <v>4</v>
      </c>
      <c r="O3" s="41">
        <f>SUM(H3:L3)/5</f>
        <v>0.8</v>
      </c>
      <c r="P3" s="10" t="str">
        <f t="shared" ref="P3:P34" si="1">REPT("||||||",N3)</f>
        <v>||||||||||||||||||||||||</v>
      </c>
      <c r="U3">
        <v>1</v>
      </c>
      <c r="V3" t="s">
        <v>26</v>
      </c>
    </row>
    <row r="4" spans="1:22" ht="16" x14ac:dyDescent="0.4">
      <c r="A4" s="17">
        <v>2</v>
      </c>
      <c r="B4" t="s">
        <v>115</v>
      </c>
      <c r="C4" t="s">
        <v>187</v>
      </c>
      <c r="E4" s="1"/>
      <c r="F4" s="1" t="s">
        <v>96</v>
      </c>
      <c r="G4" s="1" t="s">
        <v>149</v>
      </c>
      <c r="H4" s="3">
        <v>1</v>
      </c>
      <c r="I4" s="3">
        <v>1</v>
      </c>
      <c r="J4" s="3"/>
      <c r="K4"/>
      <c r="L4"/>
      <c r="M4"/>
      <c r="N4" s="3">
        <f t="shared" ref="N4:N55" si="2">SUM(H4:L4)</f>
        <v>2</v>
      </c>
      <c r="O4" s="41">
        <f t="shared" ref="O4:O55" si="3">SUM(H4:L4)/5</f>
        <v>0.4</v>
      </c>
      <c r="P4" s="10" t="str">
        <f t="shared" si="1"/>
        <v>||||||||||||</v>
      </c>
      <c r="Q4">
        <v>1</v>
      </c>
    </row>
    <row r="5" spans="1:22" ht="16" x14ac:dyDescent="0.4">
      <c r="A5" s="17">
        <v>3</v>
      </c>
      <c r="B5" t="s">
        <v>193</v>
      </c>
      <c r="C5" t="s">
        <v>188</v>
      </c>
      <c r="E5" s="1"/>
      <c r="F5" s="1" t="s">
        <v>97</v>
      </c>
      <c r="G5" s="1" t="s">
        <v>149</v>
      </c>
      <c r="H5" s="3">
        <v>1</v>
      </c>
      <c r="I5" s="3"/>
      <c r="J5" s="3">
        <v>1</v>
      </c>
      <c r="K5"/>
      <c r="L5"/>
      <c r="M5"/>
      <c r="N5" s="3">
        <f t="shared" si="2"/>
        <v>2</v>
      </c>
      <c r="O5" s="41">
        <f t="shared" si="3"/>
        <v>0.4</v>
      </c>
      <c r="P5" s="10" t="str">
        <f t="shared" si="1"/>
        <v>||||||||||||</v>
      </c>
    </row>
    <row r="6" spans="1:22" ht="16" x14ac:dyDescent="0.4">
      <c r="A6" s="17">
        <v>4</v>
      </c>
      <c r="B6" t="s">
        <v>194</v>
      </c>
      <c r="C6" t="s">
        <v>189</v>
      </c>
      <c r="D6" t="s">
        <v>469</v>
      </c>
      <c r="E6" s="1"/>
      <c r="F6" s="1" t="s">
        <v>97</v>
      </c>
      <c r="G6" s="1" t="s">
        <v>149</v>
      </c>
      <c r="H6" s="3">
        <v>1</v>
      </c>
      <c r="I6" s="3"/>
      <c r="J6" s="3">
        <v>1</v>
      </c>
      <c r="K6">
        <v>1</v>
      </c>
      <c r="L6">
        <v>1</v>
      </c>
      <c r="M6">
        <v>1</v>
      </c>
      <c r="N6" s="3">
        <f t="shared" si="2"/>
        <v>4</v>
      </c>
      <c r="O6" s="41">
        <f t="shared" si="3"/>
        <v>0.8</v>
      </c>
      <c r="P6" s="10" t="str">
        <f t="shared" si="1"/>
        <v>||||||||||||||||||||||||</v>
      </c>
      <c r="V6" s="2"/>
    </row>
    <row r="7" spans="1:22" s="20" customFormat="1" ht="16" x14ac:dyDescent="0.4">
      <c r="A7" s="17">
        <v>5</v>
      </c>
      <c r="B7" t="s">
        <v>190</v>
      </c>
      <c r="C7" t="s">
        <v>189</v>
      </c>
      <c r="D7" t="s">
        <v>471</v>
      </c>
      <c r="E7" s="1"/>
      <c r="F7" s="1" t="s">
        <v>97</v>
      </c>
      <c r="G7" s="1" t="s">
        <v>149</v>
      </c>
      <c r="H7" s="3">
        <v>1</v>
      </c>
      <c r="I7" s="3">
        <v>1</v>
      </c>
      <c r="J7" s="3">
        <v>1</v>
      </c>
      <c r="K7">
        <v>1</v>
      </c>
      <c r="L7">
        <v>1</v>
      </c>
      <c r="M7">
        <v>1</v>
      </c>
      <c r="N7" s="3">
        <f t="shared" si="2"/>
        <v>5</v>
      </c>
      <c r="O7" s="41">
        <f t="shared" si="3"/>
        <v>1</v>
      </c>
      <c r="P7" s="10" t="str">
        <f t="shared" si="1"/>
        <v>||||||||||||||||||||||||||||||</v>
      </c>
      <c r="Q7"/>
      <c r="R7"/>
      <c r="S7"/>
      <c r="T7"/>
      <c r="U7"/>
      <c r="V7" s="2"/>
    </row>
    <row r="8" spans="1:22" s="23" customFormat="1" ht="16" x14ac:dyDescent="0.4">
      <c r="A8" s="17">
        <v>6</v>
      </c>
      <c r="B8" t="s">
        <v>117</v>
      </c>
      <c r="C8" t="s">
        <v>122</v>
      </c>
      <c r="D8"/>
      <c r="E8" s="22"/>
      <c r="F8" s="1" t="s">
        <v>96</v>
      </c>
      <c r="G8" s="1" t="s">
        <v>149</v>
      </c>
      <c r="H8" s="3">
        <v>1</v>
      </c>
      <c r="I8" s="21">
        <v>1</v>
      </c>
      <c r="J8" s="21"/>
      <c r="K8"/>
      <c r="L8"/>
      <c r="M8"/>
      <c r="N8" s="3">
        <f t="shared" si="2"/>
        <v>2</v>
      </c>
      <c r="O8" s="41">
        <f t="shared" si="3"/>
        <v>0.4</v>
      </c>
      <c r="P8" s="10" t="str">
        <f t="shared" si="1"/>
        <v>||||||||||||</v>
      </c>
      <c r="Q8">
        <v>1</v>
      </c>
      <c r="V8" s="47"/>
    </row>
    <row r="9" spans="1:22" ht="16" x14ac:dyDescent="0.4">
      <c r="A9" s="17">
        <v>7</v>
      </c>
      <c r="B9" t="s">
        <v>195</v>
      </c>
      <c r="C9" t="s">
        <v>121</v>
      </c>
      <c r="D9" t="s">
        <v>472</v>
      </c>
      <c r="E9" s="1"/>
      <c r="F9" s="1" t="s">
        <v>96</v>
      </c>
      <c r="G9" s="1" t="s">
        <v>149</v>
      </c>
      <c r="H9" s="3">
        <v>1</v>
      </c>
      <c r="I9" s="3">
        <v>1</v>
      </c>
      <c r="J9" s="3"/>
      <c r="K9">
        <v>1</v>
      </c>
      <c r="L9">
        <v>1</v>
      </c>
      <c r="M9">
        <v>1</v>
      </c>
      <c r="N9" s="3">
        <f t="shared" si="2"/>
        <v>4</v>
      </c>
      <c r="O9" s="41">
        <f t="shared" si="3"/>
        <v>0.8</v>
      </c>
      <c r="P9" s="10" t="str">
        <f t="shared" si="1"/>
        <v>||||||||||||||||||||||||</v>
      </c>
      <c r="V9" s="2"/>
    </row>
    <row r="10" spans="1:22" ht="16" x14ac:dyDescent="0.4">
      <c r="A10" s="17">
        <v>8</v>
      </c>
      <c r="B10" t="s">
        <v>196</v>
      </c>
      <c r="C10" t="s">
        <v>189</v>
      </c>
      <c r="E10" s="1"/>
      <c r="F10" s="1" t="s">
        <v>96</v>
      </c>
      <c r="G10" s="1" t="s">
        <v>149</v>
      </c>
      <c r="H10" s="3">
        <v>1</v>
      </c>
      <c r="I10" s="3"/>
      <c r="J10" s="3"/>
      <c r="K10"/>
      <c r="L10"/>
      <c r="M10"/>
      <c r="N10" s="3">
        <f t="shared" si="2"/>
        <v>1</v>
      </c>
      <c r="O10" s="41">
        <f t="shared" si="3"/>
        <v>0.2</v>
      </c>
      <c r="P10" s="10" t="str">
        <f t="shared" si="1"/>
        <v>||||||</v>
      </c>
    </row>
    <row r="11" spans="1:22" ht="16" x14ac:dyDescent="0.4">
      <c r="A11" s="17">
        <v>9</v>
      </c>
      <c r="B11" t="s">
        <v>197</v>
      </c>
      <c r="C11" t="s">
        <v>191</v>
      </c>
      <c r="E11" s="1"/>
      <c r="F11" s="1" t="s">
        <v>96</v>
      </c>
      <c r="G11" s="1" t="s">
        <v>149</v>
      </c>
      <c r="H11" s="3">
        <v>1</v>
      </c>
      <c r="I11" s="3"/>
      <c r="J11" s="3"/>
      <c r="K11"/>
      <c r="L11"/>
      <c r="M11">
        <v>1</v>
      </c>
      <c r="N11" s="3">
        <f t="shared" si="2"/>
        <v>1</v>
      </c>
      <c r="O11" s="41">
        <f t="shared" si="3"/>
        <v>0.2</v>
      </c>
      <c r="P11" s="10" t="str">
        <f t="shared" si="1"/>
        <v>||||||</v>
      </c>
    </row>
    <row r="12" spans="1:22" ht="16" x14ac:dyDescent="0.4">
      <c r="A12" s="17">
        <v>10</v>
      </c>
      <c r="B12" t="s">
        <v>198</v>
      </c>
      <c r="C12" t="s">
        <v>191</v>
      </c>
      <c r="E12" s="1"/>
      <c r="F12" s="1" t="s">
        <v>96</v>
      </c>
      <c r="G12" s="1" t="s">
        <v>149</v>
      </c>
      <c r="H12" s="3">
        <v>1</v>
      </c>
      <c r="I12" s="3"/>
      <c r="J12" s="3"/>
      <c r="K12"/>
      <c r="L12"/>
      <c r="M12"/>
      <c r="N12" s="3">
        <f t="shared" si="2"/>
        <v>1</v>
      </c>
      <c r="O12" s="41">
        <f t="shared" si="3"/>
        <v>0.2</v>
      </c>
      <c r="P12" s="10" t="str">
        <f t="shared" si="1"/>
        <v>||||||</v>
      </c>
    </row>
    <row r="13" spans="1:22" ht="16" x14ac:dyDescent="0.4">
      <c r="A13" s="17">
        <v>11</v>
      </c>
      <c r="B13" t="s">
        <v>199</v>
      </c>
      <c r="C13" t="s">
        <v>58</v>
      </c>
      <c r="E13" s="1"/>
      <c r="F13" s="1" t="s">
        <v>96</v>
      </c>
      <c r="G13" s="1" t="s">
        <v>149</v>
      </c>
      <c r="H13" s="3">
        <v>1</v>
      </c>
      <c r="I13" s="3">
        <v>1</v>
      </c>
      <c r="J13" s="3">
        <v>1</v>
      </c>
      <c r="K13"/>
      <c r="L13"/>
      <c r="M13" s="4">
        <v>1</v>
      </c>
      <c r="N13" s="3">
        <f>SUM(H13:M13)</f>
        <v>4</v>
      </c>
      <c r="O13" s="41">
        <f t="shared" si="3"/>
        <v>0.6</v>
      </c>
      <c r="P13" s="10" t="str">
        <f t="shared" si="1"/>
        <v>||||||||||||||||||||||||</v>
      </c>
    </row>
    <row r="14" spans="1:22" ht="16" x14ac:dyDescent="0.4">
      <c r="A14" s="17">
        <v>12</v>
      </c>
      <c r="B14" t="s">
        <v>192</v>
      </c>
      <c r="C14" t="s">
        <v>186</v>
      </c>
      <c r="D14" t="s">
        <v>468</v>
      </c>
      <c r="E14" s="1"/>
      <c r="F14" s="1" t="s">
        <v>97</v>
      </c>
      <c r="G14" s="1" t="s">
        <v>149</v>
      </c>
      <c r="H14" s="3">
        <v>1</v>
      </c>
      <c r="I14" s="3">
        <v>1</v>
      </c>
      <c r="J14" s="3">
        <v>1</v>
      </c>
      <c r="K14">
        <v>1</v>
      </c>
      <c r="L14" s="112">
        <v>1</v>
      </c>
      <c r="M14" s="112">
        <v>1</v>
      </c>
      <c r="N14" s="3">
        <f>SUM(H14:M14)</f>
        <v>6</v>
      </c>
      <c r="O14" s="41">
        <f t="shared" si="3"/>
        <v>1</v>
      </c>
      <c r="P14" s="10" t="str">
        <f t="shared" si="1"/>
        <v>||||||||||||||||||||||||||||||||||||</v>
      </c>
      <c r="U14">
        <v>0</v>
      </c>
      <c r="V14" t="s">
        <v>27</v>
      </c>
    </row>
    <row r="15" spans="1:22" ht="16" x14ac:dyDescent="0.4">
      <c r="A15" s="17">
        <v>13</v>
      </c>
      <c r="B15" t="s">
        <v>200</v>
      </c>
      <c r="C15" t="s">
        <v>186</v>
      </c>
      <c r="D15" t="s">
        <v>467</v>
      </c>
      <c r="E15" s="1"/>
      <c r="F15" s="1" t="s">
        <v>97</v>
      </c>
      <c r="G15" s="1" t="s">
        <v>149</v>
      </c>
      <c r="H15" s="3">
        <v>1</v>
      </c>
      <c r="I15" s="3">
        <v>1</v>
      </c>
      <c r="J15" s="3">
        <v>1</v>
      </c>
      <c r="K15">
        <v>1</v>
      </c>
      <c r="L15">
        <v>1</v>
      </c>
      <c r="M15">
        <v>1</v>
      </c>
      <c r="N15" s="3">
        <f t="shared" si="2"/>
        <v>5</v>
      </c>
      <c r="O15" s="41">
        <f t="shared" si="3"/>
        <v>1</v>
      </c>
      <c r="P15" s="10" t="str">
        <f t="shared" si="1"/>
        <v>||||||||||||||||||||||||||||||</v>
      </c>
    </row>
    <row r="16" spans="1:22" ht="16" x14ac:dyDescent="0.4">
      <c r="A16" s="17">
        <v>14</v>
      </c>
      <c r="B16" t="s">
        <v>145</v>
      </c>
      <c r="C16" t="s">
        <v>186</v>
      </c>
      <c r="D16" t="s">
        <v>473</v>
      </c>
      <c r="E16" s="1"/>
      <c r="F16" s="1" t="s">
        <v>96</v>
      </c>
      <c r="G16" s="1" t="s">
        <v>149</v>
      </c>
      <c r="H16" s="3">
        <v>1</v>
      </c>
      <c r="I16" s="3">
        <v>1</v>
      </c>
      <c r="J16" s="3">
        <v>1</v>
      </c>
      <c r="K16">
        <v>1</v>
      </c>
      <c r="L16">
        <v>1</v>
      </c>
      <c r="M16">
        <v>1</v>
      </c>
      <c r="N16" s="3">
        <f t="shared" si="2"/>
        <v>5</v>
      </c>
      <c r="O16" s="41">
        <f t="shared" si="3"/>
        <v>1</v>
      </c>
      <c r="P16" s="10" t="str">
        <f t="shared" si="1"/>
        <v>||||||||||||||||||||||||||||||</v>
      </c>
      <c r="Q16">
        <v>1</v>
      </c>
    </row>
    <row r="17" spans="1:22" ht="16" x14ac:dyDescent="0.4">
      <c r="A17" s="17">
        <v>15</v>
      </c>
      <c r="B17" t="s">
        <v>112</v>
      </c>
      <c r="C17" t="s">
        <v>186</v>
      </c>
      <c r="E17" s="1"/>
      <c r="F17" s="1" t="s">
        <v>96</v>
      </c>
      <c r="G17" s="1" t="s">
        <v>149</v>
      </c>
      <c r="H17" s="3">
        <v>1</v>
      </c>
      <c r="I17" s="3">
        <v>1</v>
      </c>
      <c r="J17" s="3"/>
      <c r="K17">
        <v>1</v>
      </c>
      <c r="L17">
        <v>1</v>
      </c>
      <c r="M17">
        <v>1</v>
      </c>
      <c r="N17" s="3">
        <f t="shared" si="2"/>
        <v>4</v>
      </c>
      <c r="O17" s="41">
        <f t="shared" si="3"/>
        <v>0.8</v>
      </c>
      <c r="P17" s="10" t="str">
        <f t="shared" si="1"/>
        <v>||||||||||||||||||||||||</v>
      </c>
      <c r="Q17">
        <v>1</v>
      </c>
    </row>
    <row r="18" spans="1:22" ht="16" x14ac:dyDescent="0.4">
      <c r="A18" s="17">
        <v>16</v>
      </c>
      <c r="B18" t="s">
        <v>201</v>
      </c>
      <c r="C18" t="s">
        <v>186</v>
      </c>
      <c r="E18" s="1"/>
      <c r="F18" s="1" t="s">
        <v>96</v>
      </c>
      <c r="G18" s="1" t="s">
        <v>149</v>
      </c>
      <c r="H18" s="3">
        <v>1</v>
      </c>
      <c r="I18" s="3">
        <v>1</v>
      </c>
      <c r="J18" s="3">
        <v>1</v>
      </c>
      <c r="K18">
        <v>1</v>
      </c>
      <c r="L18" s="112">
        <v>1</v>
      </c>
      <c r="M18" s="112">
        <v>1</v>
      </c>
      <c r="N18" s="3">
        <f>SUM(H18:M18)</f>
        <v>6</v>
      </c>
      <c r="O18" s="41">
        <f t="shared" si="3"/>
        <v>1</v>
      </c>
      <c r="P18" s="10" t="str">
        <f t="shared" si="1"/>
        <v>||||||||||||||||||||||||||||||||||||</v>
      </c>
    </row>
    <row r="19" spans="1:22" ht="16" x14ac:dyDescent="0.4">
      <c r="A19" s="17">
        <v>17</v>
      </c>
      <c r="B19" t="s">
        <v>83</v>
      </c>
      <c r="C19" t="s">
        <v>186</v>
      </c>
      <c r="D19" t="s">
        <v>474</v>
      </c>
      <c r="E19" s="1"/>
      <c r="F19" s="1" t="s">
        <v>96</v>
      </c>
      <c r="G19" s="1" t="s">
        <v>179</v>
      </c>
      <c r="H19" s="3">
        <v>1</v>
      </c>
      <c r="I19" s="3">
        <v>1</v>
      </c>
      <c r="J19" s="3">
        <v>1</v>
      </c>
      <c r="K19">
        <v>1</v>
      </c>
      <c r="L19"/>
      <c r="M19"/>
      <c r="N19" s="3">
        <f t="shared" si="2"/>
        <v>4</v>
      </c>
      <c r="O19" s="41">
        <f t="shared" si="3"/>
        <v>0.8</v>
      </c>
      <c r="P19" s="10" t="str">
        <f t="shared" si="1"/>
        <v>||||||||||||||||||||||||</v>
      </c>
      <c r="Q19">
        <v>1</v>
      </c>
    </row>
    <row r="20" spans="1:22" s="23" customFormat="1" ht="16" x14ac:dyDescent="0.4">
      <c r="A20" s="17">
        <v>18</v>
      </c>
      <c r="B20" t="s">
        <v>202</v>
      </c>
      <c r="C20" t="s">
        <v>191</v>
      </c>
      <c r="D20"/>
      <c r="E20" s="22"/>
      <c r="F20" s="1" t="s">
        <v>97</v>
      </c>
      <c r="G20" s="1" t="s">
        <v>149</v>
      </c>
      <c r="H20" s="3">
        <v>1</v>
      </c>
      <c r="I20" s="21"/>
      <c r="J20" s="21"/>
      <c r="K20"/>
      <c r="L20"/>
      <c r="M20"/>
      <c r="N20" s="3">
        <f t="shared" si="2"/>
        <v>1</v>
      </c>
      <c r="O20" s="41">
        <f t="shared" si="3"/>
        <v>0.2</v>
      </c>
      <c r="P20" s="10" t="str">
        <f t="shared" si="1"/>
        <v>||||||</v>
      </c>
      <c r="Q20"/>
    </row>
    <row r="21" spans="1:22" ht="16" x14ac:dyDescent="0.4">
      <c r="A21" s="17">
        <v>19</v>
      </c>
      <c r="B21" t="s">
        <v>203</v>
      </c>
      <c r="C21" t="s">
        <v>103</v>
      </c>
      <c r="E21" s="1"/>
      <c r="F21" s="1" t="s">
        <v>97</v>
      </c>
      <c r="G21" s="1" t="s">
        <v>149</v>
      </c>
      <c r="H21" s="3">
        <v>1</v>
      </c>
      <c r="I21" s="3"/>
      <c r="J21" s="3"/>
      <c r="K21"/>
      <c r="L21"/>
      <c r="M21"/>
      <c r="N21" s="3">
        <f t="shared" si="2"/>
        <v>1</v>
      </c>
      <c r="O21" s="41">
        <f t="shared" si="3"/>
        <v>0.2</v>
      </c>
      <c r="P21" s="10" t="str">
        <f t="shared" si="1"/>
        <v>||||||</v>
      </c>
    </row>
    <row r="22" spans="1:22" ht="16" x14ac:dyDescent="0.4">
      <c r="A22" s="17">
        <v>20</v>
      </c>
      <c r="B22" t="s">
        <v>204</v>
      </c>
      <c r="C22" t="s">
        <v>186</v>
      </c>
      <c r="D22" t="s">
        <v>475</v>
      </c>
      <c r="E22" s="1"/>
      <c r="F22" s="1" t="s">
        <v>96</v>
      </c>
      <c r="G22" s="1" t="s">
        <v>149</v>
      </c>
      <c r="H22" s="3">
        <v>1</v>
      </c>
      <c r="I22" s="3">
        <v>1</v>
      </c>
      <c r="J22" s="3">
        <v>1</v>
      </c>
      <c r="K22">
        <v>1</v>
      </c>
      <c r="L22">
        <v>1</v>
      </c>
      <c r="M22">
        <v>1</v>
      </c>
      <c r="N22" s="3">
        <f t="shared" si="2"/>
        <v>5</v>
      </c>
      <c r="O22" s="41">
        <f t="shared" si="3"/>
        <v>1</v>
      </c>
      <c r="P22" s="10" t="str">
        <f t="shared" si="1"/>
        <v>||||||||||||||||||||||||||||||</v>
      </c>
    </row>
    <row r="23" spans="1:22" ht="16" x14ac:dyDescent="0.4">
      <c r="A23" s="17">
        <v>21</v>
      </c>
      <c r="B23" t="s">
        <v>110</v>
      </c>
      <c r="C23" t="s">
        <v>186</v>
      </c>
      <c r="E23" s="1"/>
      <c r="F23" s="1" t="s">
        <v>96</v>
      </c>
      <c r="G23" s="1" t="s">
        <v>149</v>
      </c>
      <c r="H23" s="3">
        <v>1</v>
      </c>
      <c r="I23" s="3">
        <v>1</v>
      </c>
      <c r="J23" s="3">
        <v>1</v>
      </c>
      <c r="K23"/>
      <c r="L23">
        <v>1</v>
      </c>
      <c r="M23"/>
      <c r="N23" s="3">
        <f t="shared" si="2"/>
        <v>4</v>
      </c>
      <c r="O23" s="41">
        <f t="shared" si="3"/>
        <v>0.8</v>
      </c>
      <c r="P23" s="10" t="str">
        <f t="shared" si="1"/>
        <v>||||||||||||||||||||||||</v>
      </c>
      <c r="Q23">
        <v>1</v>
      </c>
    </row>
    <row r="24" spans="1:22" ht="16" x14ac:dyDescent="0.4">
      <c r="A24" s="17">
        <v>22</v>
      </c>
      <c r="B24" t="s">
        <v>141</v>
      </c>
      <c r="C24" t="s">
        <v>186</v>
      </c>
      <c r="D24">
        <v>81226100255</v>
      </c>
      <c r="E24" s="1"/>
      <c r="F24" s="1" t="s">
        <v>96</v>
      </c>
      <c r="G24" s="1" t="s">
        <v>149</v>
      </c>
      <c r="H24" s="3">
        <v>1</v>
      </c>
      <c r="I24" s="3">
        <v>1</v>
      </c>
      <c r="J24" s="3"/>
      <c r="K24">
        <v>1</v>
      </c>
      <c r="L24">
        <v>1</v>
      </c>
      <c r="M24">
        <v>1</v>
      </c>
      <c r="N24" s="3">
        <f t="shared" si="2"/>
        <v>4</v>
      </c>
      <c r="O24" s="41">
        <f t="shared" si="3"/>
        <v>0.8</v>
      </c>
      <c r="P24" s="10" t="str">
        <f t="shared" si="1"/>
        <v>||||||||||||||||||||||||</v>
      </c>
      <c r="Q24">
        <v>1</v>
      </c>
    </row>
    <row r="25" spans="1:22" ht="16" x14ac:dyDescent="0.4">
      <c r="A25" s="17">
        <v>23</v>
      </c>
      <c r="B25" t="s">
        <v>207</v>
      </c>
      <c r="C25" t="s">
        <v>186</v>
      </c>
      <c r="E25" s="1"/>
      <c r="F25" s="1" t="s">
        <v>96</v>
      </c>
      <c r="G25" s="1" t="s">
        <v>149</v>
      </c>
      <c r="H25" s="3">
        <v>1</v>
      </c>
      <c r="I25" s="3">
        <v>1</v>
      </c>
      <c r="J25" s="3">
        <v>1</v>
      </c>
      <c r="K25">
        <v>1</v>
      </c>
      <c r="L25" s="112">
        <v>1</v>
      </c>
      <c r="M25" s="112"/>
      <c r="N25" s="3">
        <f t="shared" si="2"/>
        <v>5</v>
      </c>
      <c r="O25" s="41">
        <f t="shared" si="3"/>
        <v>1</v>
      </c>
      <c r="P25" s="10" t="str">
        <f t="shared" si="1"/>
        <v>||||||||||||||||||||||||||||||</v>
      </c>
    </row>
    <row r="26" spans="1:22" ht="26" x14ac:dyDescent="0.4">
      <c r="A26" s="17">
        <v>24</v>
      </c>
      <c r="B26" t="s">
        <v>205</v>
      </c>
      <c r="C26" t="s">
        <v>186</v>
      </c>
      <c r="E26" s="1"/>
      <c r="F26" s="1" t="s">
        <v>96</v>
      </c>
      <c r="G26" s="1" t="s">
        <v>149</v>
      </c>
      <c r="H26" s="3">
        <v>1</v>
      </c>
      <c r="I26" s="3">
        <v>1</v>
      </c>
      <c r="J26" s="3">
        <v>1</v>
      </c>
      <c r="K26">
        <v>1</v>
      </c>
      <c r="L26">
        <v>1</v>
      </c>
      <c r="M26"/>
      <c r="N26" s="3">
        <f t="shared" si="2"/>
        <v>5</v>
      </c>
      <c r="O26" s="41">
        <f t="shared" si="3"/>
        <v>1</v>
      </c>
      <c r="P26" s="10" t="str">
        <f t="shared" si="1"/>
        <v>||||||||||||||||||||||||||||||</v>
      </c>
      <c r="V26" s="5" t="s">
        <v>34</v>
      </c>
    </row>
    <row r="27" spans="1:22" ht="26" x14ac:dyDescent="0.4">
      <c r="A27" s="17">
        <v>25</v>
      </c>
      <c r="B27" t="s">
        <v>206</v>
      </c>
      <c r="C27" t="s">
        <v>121</v>
      </c>
      <c r="D27" t="s">
        <v>465</v>
      </c>
      <c r="E27" s="1"/>
      <c r="F27" s="1" t="s">
        <v>96</v>
      </c>
      <c r="G27" s="1" t="s">
        <v>149</v>
      </c>
      <c r="H27" s="3">
        <v>1</v>
      </c>
      <c r="I27" s="3">
        <v>1</v>
      </c>
      <c r="J27" s="3">
        <v>1</v>
      </c>
      <c r="K27">
        <v>1</v>
      </c>
      <c r="L27"/>
      <c r="M27"/>
      <c r="N27" s="3">
        <f t="shared" si="2"/>
        <v>4</v>
      </c>
      <c r="O27" s="41">
        <f t="shared" si="3"/>
        <v>0.8</v>
      </c>
      <c r="P27" s="10" t="str">
        <f t="shared" si="1"/>
        <v>||||||||||||||||||||||||</v>
      </c>
      <c r="V27" s="5" t="s">
        <v>36</v>
      </c>
    </row>
    <row r="28" spans="1:22" ht="16" x14ac:dyDescent="0.4">
      <c r="A28" s="17">
        <v>26</v>
      </c>
      <c r="B28" t="s">
        <v>134</v>
      </c>
      <c r="C28" t="s">
        <v>186</v>
      </c>
      <c r="E28" s="1"/>
      <c r="F28" s="1" t="s">
        <v>97</v>
      </c>
      <c r="G28" s="1" t="s">
        <v>149</v>
      </c>
      <c r="H28" s="3">
        <v>1</v>
      </c>
      <c r="I28" s="3">
        <v>1</v>
      </c>
      <c r="J28" s="3">
        <v>1</v>
      </c>
      <c r="K28"/>
      <c r="L28">
        <v>1</v>
      </c>
      <c r="M28">
        <v>1</v>
      </c>
      <c r="N28" s="3">
        <f t="shared" si="2"/>
        <v>4</v>
      </c>
      <c r="O28" s="41">
        <f t="shared" si="3"/>
        <v>0.8</v>
      </c>
      <c r="P28" s="10" t="str">
        <f t="shared" si="1"/>
        <v>||||||||||||||||||||||||</v>
      </c>
      <c r="Q28">
        <v>1</v>
      </c>
    </row>
    <row r="29" spans="1:22" ht="16" x14ac:dyDescent="0.4">
      <c r="A29" s="17">
        <v>27</v>
      </c>
      <c r="B29" s="1" t="s">
        <v>113</v>
      </c>
      <c r="C29" s="1" t="s">
        <v>295</v>
      </c>
      <c r="D29" t="s">
        <v>476</v>
      </c>
      <c r="E29" s="1"/>
      <c r="F29" s="1" t="s">
        <v>97</v>
      </c>
      <c r="G29" s="1" t="s">
        <v>149</v>
      </c>
      <c r="H29" s="3"/>
      <c r="I29" s="3"/>
      <c r="J29" s="3">
        <v>1</v>
      </c>
      <c r="K29">
        <v>1</v>
      </c>
      <c r="L29">
        <v>1</v>
      </c>
      <c r="M29"/>
      <c r="N29" s="3">
        <f t="shared" si="2"/>
        <v>3</v>
      </c>
      <c r="O29" s="41">
        <f t="shared" si="3"/>
        <v>0.6</v>
      </c>
      <c r="P29" s="10" t="str">
        <f t="shared" si="1"/>
        <v>||||||||||||||||||</v>
      </c>
      <c r="Q29">
        <v>1</v>
      </c>
    </row>
    <row r="30" spans="1:22" ht="16" x14ac:dyDescent="0.4">
      <c r="A30" s="17">
        <v>28</v>
      </c>
      <c r="B30" s="1" t="s">
        <v>294</v>
      </c>
      <c r="C30" s="1" t="s">
        <v>188</v>
      </c>
      <c r="D30" t="s">
        <v>477</v>
      </c>
      <c r="E30" s="1"/>
      <c r="F30" s="1" t="s">
        <v>97</v>
      </c>
      <c r="G30" s="1" t="s">
        <v>149</v>
      </c>
      <c r="H30" s="3"/>
      <c r="I30" s="3"/>
      <c r="J30" s="3">
        <v>1</v>
      </c>
      <c r="K30">
        <v>1</v>
      </c>
      <c r="L30">
        <v>1</v>
      </c>
      <c r="M30">
        <v>1</v>
      </c>
      <c r="N30" s="3">
        <f t="shared" si="2"/>
        <v>3</v>
      </c>
      <c r="O30" s="41">
        <f t="shared" si="3"/>
        <v>0.6</v>
      </c>
      <c r="P30" s="10" t="str">
        <f t="shared" si="1"/>
        <v>||||||||||||||||||</v>
      </c>
    </row>
    <row r="31" spans="1:22" ht="26" x14ac:dyDescent="0.4">
      <c r="A31" s="17">
        <v>29</v>
      </c>
      <c r="B31" s="1" t="s">
        <v>296</v>
      </c>
      <c r="C31" s="1" t="s">
        <v>186</v>
      </c>
      <c r="D31" s="1"/>
      <c r="E31" s="1"/>
      <c r="F31" s="1" t="s">
        <v>97</v>
      </c>
      <c r="G31" s="1" t="s">
        <v>149</v>
      </c>
      <c r="H31" s="3"/>
      <c r="I31" s="3"/>
      <c r="J31" s="3">
        <v>1</v>
      </c>
      <c r="K31">
        <v>1</v>
      </c>
      <c r="L31">
        <v>1</v>
      </c>
      <c r="M31"/>
      <c r="N31" s="3">
        <f t="shared" si="2"/>
        <v>3</v>
      </c>
      <c r="O31" s="41">
        <f t="shared" si="3"/>
        <v>0.6</v>
      </c>
      <c r="P31" s="10" t="str">
        <f t="shared" si="1"/>
        <v>||||||||||||||||||</v>
      </c>
      <c r="V31" s="5" t="s">
        <v>33</v>
      </c>
    </row>
    <row r="32" spans="1:22" ht="16" x14ac:dyDescent="0.4">
      <c r="A32" s="17">
        <v>30</v>
      </c>
      <c r="B32" s="1" t="s">
        <v>297</v>
      </c>
      <c r="C32" s="1" t="s">
        <v>189</v>
      </c>
      <c r="D32" s="1"/>
      <c r="E32" s="1"/>
      <c r="F32" s="1" t="s">
        <v>97</v>
      </c>
      <c r="G32" s="1" t="s">
        <v>149</v>
      </c>
      <c r="H32" s="3"/>
      <c r="I32" s="3"/>
      <c r="J32" s="3">
        <v>1</v>
      </c>
      <c r="K32"/>
      <c r="L32"/>
      <c r="M32"/>
      <c r="N32" s="3">
        <f t="shared" si="2"/>
        <v>1</v>
      </c>
      <c r="O32" s="41">
        <f t="shared" si="3"/>
        <v>0.2</v>
      </c>
      <c r="P32" s="10" t="str">
        <f t="shared" si="1"/>
        <v>||||||</v>
      </c>
    </row>
    <row r="33" spans="1:17" ht="16" x14ac:dyDescent="0.4">
      <c r="A33" s="17">
        <v>31</v>
      </c>
      <c r="B33" s="1" t="s">
        <v>298</v>
      </c>
      <c r="C33" s="1" t="s">
        <v>187</v>
      </c>
      <c r="D33" t="s">
        <v>478</v>
      </c>
      <c r="E33" s="1"/>
      <c r="F33" s="1" t="s">
        <v>97</v>
      </c>
      <c r="G33" s="1" t="s">
        <v>149</v>
      </c>
      <c r="H33" s="3"/>
      <c r="I33" s="3">
        <v>1</v>
      </c>
      <c r="J33" s="3">
        <v>1</v>
      </c>
      <c r="K33">
        <v>1</v>
      </c>
      <c r="L33">
        <v>1</v>
      </c>
      <c r="M33">
        <v>1</v>
      </c>
      <c r="N33" s="3">
        <f t="shared" si="2"/>
        <v>4</v>
      </c>
      <c r="O33" s="41">
        <f t="shared" si="3"/>
        <v>0.8</v>
      </c>
      <c r="P33" s="10" t="str">
        <f t="shared" si="1"/>
        <v>||||||||||||||||||||||||</v>
      </c>
    </row>
    <row r="34" spans="1:17" ht="16" x14ac:dyDescent="0.4">
      <c r="A34" s="17">
        <v>32</v>
      </c>
      <c r="B34" s="1" t="s">
        <v>299</v>
      </c>
      <c r="C34" s="1" t="s">
        <v>186</v>
      </c>
      <c r="D34" s="1"/>
      <c r="E34" s="1"/>
      <c r="F34" s="1" t="s">
        <v>97</v>
      </c>
      <c r="G34" s="1" t="s">
        <v>149</v>
      </c>
      <c r="H34" s="3"/>
      <c r="I34" s="3"/>
      <c r="J34" s="3">
        <v>1</v>
      </c>
      <c r="K34"/>
      <c r="L34"/>
      <c r="M34"/>
      <c r="N34" s="3">
        <f t="shared" si="2"/>
        <v>1</v>
      </c>
      <c r="O34" s="41">
        <f t="shared" si="3"/>
        <v>0.2</v>
      </c>
      <c r="P34" s="10" t="str">
        <f t="shared" si="1"/>
        <v>||||||</v>
      </c>
    </row>
    <row r="35" spans="1:17" ht="16" x14ac:dyDescent="0.4">
      <c r="A35" s="17">
        <v>33</v>
      </c>
      <c r="B35" s="1" t="s">
        <v>300</v>
      </c>
      <c r="C35" s="1" t="s">
        <v>186</v>
      </c>
      <c r="D35" t="s">
        <v>464</v>
      </c>
      <c r="E35" s="1"/>
      <c r="F35" s="1" t="s">
        <v>96</v>
      </c>
      <c r="G35" s="1" t="s">
        <v>149</v>
      </c>
      <c r="H35" s="3"/>
      <c r="I35" s="3"/>
      <c r="J35" s="3">
        <v>1</v>
      </c>
      <c r="K35">
        <v>1</v>
      </c>
      <c r="L35">
        <v>1</v>
      </c>
      <c r="M35" s="4">
        <v>1</v>
      </c>
      <c r="N35" s="3">
        <f>SUM(H35:M35)</f>
        <v>4</v>
      </c>
      <c r="O35" s="41">
        <f t="shared" si="3"/>
        <v>0.6</v>
      </c>
      <c r="P35" s="10" t="str">
        <f t="shared" ref="P35:P51" si="4">REPT("||||||",N35)</f>
        <v>||||||||||||||||||||||||</v>
      </c>
    </row>
    <row r="36" spans="1:17" ht="16" x14ac:dyDescent="0.4">
      <c r="A36" s="17">
        <v>34</v>
      </c>
      <c r="B36" s="1" t="s">
        <v>240</v>
      </c>
      <c r="C36" s="1" t="s">
        <v>186</v>
      </c>
      <c r="D36" s="1"/>
      <c r="E36" s="1"/>
      <c r="F36" s="1" t="s">
        <v>96</v>
      </c>
      <c r="G36" s="1" t="s">
        <v>149</v>
      </c>
      <c r="H36" s="3"/>
      <c r="I36" s="3"/>
      <c r="J36" s="3">
        <v>1</v>
      </c>
      <c r="K36"/>
      <c r="L36"/>
      <c r="M36"/>
      <c r="N36" s="3">
        <f t="shared" si="2"/>
        <v>1</v>
      </c>
      <c r="O36" s="41">
        <f t="shared" si="3"/>
        <v>0.2</v>
      </c>
      <c r="P36" s="10" t="str">
        <f t="shared" si="4"/>
        <v>||||||</v>
      </c>
    </row>
    <row r="37" spans="1:17" ht="16" x14ac:dyDescent="0.4">
      <c r="A37" s="17">
        <v>35</v>
      </c>
      <c r="B37" s="1" t="s">
        <v>116</v>
      </c>
      <c r="C37" s="1" t="s">
        <v>189</v>
      </c>
      <c r="D37" s="1"/>
      <c r="E37" s="1"/>
      <c r="F37" s="1" t="s">
        <v>96</v>
      </c>
      <c r="G37" s="1" t="s">
        <v>149</v>
      </c>
      <c r="H37" s="3"/>
      <c r="I37" s="3">
        <v>1</v>
      </c>
      <c r="J37" s="3">
        <v>1</v>
      </c>
      <c r="K37">
        <v>1</v>
      </c>
      <c r="L37">
        <v>1</v>
      </c>
      <c r="M37">
        <v>1</v>
      </c>
      <c r="N37" s="3">
        <f t="shared" si="2"/>
        <v>4</v>
      </c>
      <c r="O37" s="41">
        <f t="shared" si="3"/>
        <v>0.8</v>
      </c>
      <c r="P37" s="10" t="str">
        <f t="shared" si="4"/>
        <v>||||||||||||||||||||||||</v>
      </c>
      <c r="Q37">
        <v>1</v>
      </c>
    </row>
    <row r="38" spans="1:17" ht="16" x14ac:dyDescent="0.4">
      <c r="A38" s="17">
        <v>36</v>
      </c>
      <c r="B38" s="1" t="s">
        <v>301</v>
      </c>
      <c r="C38" s="1" t="s">
        <v>302</v>
      </c>
      <c r="D38" t="s">
        <v>479</v>
      </c>
      <c r="E38" s="1"/>
      <c r="F38" s="1" t="s">
        <v>96</v>
      </c>
      <c r="G38" s="1" t="s">
        <v>149</v>
      </c>
      <c r="H38" s="3"/>
      <c r="I38" s="3"/>
      <c r="J38" s="3">
        <v>1</v>
      </c>
      <c r="K38">
        <v>1</v>
      </c>
      <c r="L38">
        <v>1</v>
      </c>
      <c r="M38">
        <v>1</v>
      </c>
      <c r="N38" s="3">
        <f t="shared" si="2"/>
        <v>3</v>
      </c>
      <c r="O38" s="41">
        <f t="shared" si="3"/>
        <v>0.6</v>
      </c>
      <c r="P38" s="10" t="str">
        <f t="shared" si="4"/>
        <v>||||||||||||||||||</v>
      </c>
    </row>
    <row r="39" spans="1:17" ht="16" x14ac:dyDescent="0.4">
      <c r="A39" s="17">
        <v>37</v>
      </c>
      <c r="B39" s="1" t="s">
        <v>303</v>
      </c>
      <c r="C39" s="1" t="s">
        <v>186</v>
      </c>
      <c r="D39" s="1"/>
      <c r="E39" s="1"/>
      <c r="F39" s="1" t="s">
        <v>96</v>
      </c>
      <c r="G39" s="1" t="s">
        <v>149</v>
      </c>
      <c r="H39" s="3"/>
      <c r="I39" s="3"/>
      <c r="J39" s="3">
        <v>1</v>
      </c>
      <c r="K39"/>
      <c r="L39">
        <v>1</v>
      </c>
      <c r="M39"/>
      <c r="N39" s="3">
        <f t="shared" si="2"/>
        <v>2</v>
      </c>
      <c r="O39" s="41">
        <f t="shared" si="3"/>
        <v>0.4</v>
      </c>
      <c r="P39" s="10" t="str">
        <f t="shared" si="4"/>
        <v>||||||||||||</v>
      </c>
    </row>
    <row r="40" spans="1:17" ht="16" x14ac:dyDescent="0.4">
      <c r="A40" s="17">
        <v>38</v>
      </c>
      <c r="B40" s="1" t="s">
        <v>304</v>
      </c>
      <c r="C40" s="1" t="s">
        <v>186</v>
      </c>
      <c r="D40" s="1"/>
      <c r="E40" s="1"/>
      <c r="F40" s="1" t="s">
        <v>96</v>
      </c>
      <c r="G40" s="1" t="s">
        <v>149</v>
      </c>
      <c r="H40" s="3"/>
      <c r="I40" s="3"/>
      <c r="J40" s="3">
        <v>1</v>
      </c>
      <c r="K40"/>
      <c r="L40"/>
      <c r="M40"/>
      <c r="N40" s="3">
        <f t="shared" si="2"/>
        <v>1</v>
      </c>
      <c r="O40" s="41">
        <f t="shared" si="3"/>
        <v>0.2</v>
      </c>
      <c r="P40" s="10" t="str">
        <f t="shared" si="4"/>
        <v>||||||</v>
      </c>
    </row>
    <row r="41" spans="1:17" ht="16" x14ac:dyDescent="0.4">
      <c r="A41" s="17">
        <v>39</v>
      </c>
      <c r="B41" s="1" t="s">
        <v>305</v>
      </c>
      <c r="C41" s="1" t="s">
        <v>186</v>
      </c>
      <c r="D41" s="1"/>
      <c r="E41" s="1"/>
      <c r="F41" s="1" t="s">
        <v>96</v>
      </c>
      <c r="G41" s="1" t="s">
        <v>149</v>
      </c>
      <c r="H41" s="3"/>
      <c r="I41" s="3"/>
      <c r="J41" s="3">
        <v>1</v>
      </c>
      <c r="K41"/>
      <c r="L41"/>
      <c r="M41"/>
      <c r="N41" s="3">
        <f t="shared" si="2"/>
        <v>1</v>
      </c>
      <c r="O41" s="41">
        <f t="shared" si="3"/>
        <v>0.2</v>
      </c>
      <c r="P41" s="10" t="str">
        <f t="shared" si="4"/>
        <v>||||||</v>
      </c>
    </row>
    <row r="42" spans="1:17" ht="16" x14ac:dyDescent="0.4">
      <c r="A42" s="17">
        <v>40</v>
      </c>
      <c r="B42" s="1" t="s">
        <v>306</v>
      </c>
      <c r="C42" s="1" t="s">
        <v>186</v>
      </c>
      <c r="D42" s="1"/>
      <c r="E42" s="1"/>
      <c r="F42" s="1" t="s">
        <v>96</v>
      </c>
      <c r="G42" s="1" t="s">
        <v>149</v>
      </c>
      <c r="H42" s="3"/>
      <c r="I42" s="3"/>
      <c r="J42" s="3">
        <v>1</v>
      </c>
      <c r="K42">
        <v>1</v>
      </c>
      <c r="L42">
        <v>1</v>
      </c>
      <c r="M42">
        <v>1</v>
      </c>
      <c r="N42" s="3">
        <f t="shared" si="2"/>
        <v>3</v>
      </c>
      <c r="O42" s="41">
        <f t="shared" si="3"/>
        <v>0.6</v>
      </c>
      <c r="P42" s="10" t="str">
        <f t="shared" si="4"/>
        <v>||||||||||||||||||</v>
      </c>
    </row>
    <row r="43" spans="1:17" ht="16" x14ac:dyDescent="0.4">
      <c r="A43" s="17">
        <v>41</v>
      </c>
      <c r="B43" s="1" t="s">
        <v>307</v>
      </c>
      <c r="C43" s="1" t="s">
        <v>189</v>
      </c>
      <c r="D43" s="1"/>
      <c r="E43" s="1"/>
      <c r="F43" s="1" t="s">
        <v>97</v>
      </c>
      <c r="G43" s="1" t="s">
        <v>149</v>
      </c>
      <c r="H43" s="3"/>
      <c r="I43" s="3">
        <v>1</v>
      </c>
      <c r="J43" s="3">
        <v>1</v>
      </c>
      <c r="K43">
        <v>1</v>
      </c>
      <c r="L43" s="112">
        <v>1</v>
      </c>
      <c r="M43" s="112">
        <v>1</v>
      </c>
      <c r="N43" s="3">
        <f>SUM(H43:M43)</f>
        <v>5</v>
      </c>
      <c r="O43" s="41">
        <f t="shared" si="3"/>
        <v>0.8</v>
      </c>
      <c r="P43" s="10" t="str">
        <f t="shared" si="4"/>
        <v>||||||||||||||||||||||||||||||</v>
      </c>
    </row>
    <row r="44" spans="1:17" ht="16" x14ac:dyDescent="0.4">
      <c r="A44" s="17">
        <v>42</v>
      </c>
      <c r="B44" s="1" t="s">
        <v>308</v>
      </c>
      <c r="C44" s="1" t="s">
        <v>58</v>
      </c>
      <c r="D44" s="1"/>
      <c r="E44" s="1"/>
      <c r="F44" s="1" t="s">
        <v>96</v>
      </c>
      <c r="G44" s="1" t="s">
        <v>149</v>
      </c>
      <c r="H44" s="3"/>
      <c r="I44" s="3"/>
      <c r="J44" s="3">
        <v>1</v>
      </c>
      <c r="K44" s="3"/>
      <c r="L44"/>
      <c r="M44"/>
      <c r="N44" s="3">
        <f t="shared" si="2"/>
        <v>1</v>
      </c>
      <c r="O44" s="41">
        <f t="shared" si="3"/>
        <v>0.2</v>
      </c>
      <c r="P44" s="10" t="str">
        <f t="shared" si="4"/>
        <v>||||||</v>
      </c>
    </row>
    <row r="45" spans="1:17" ht="16" x14ac:dyDescent="0.4">
      <c r="A45" s="17">
        <v>43</v>
      </c>
      <c r="B45" s="1" t="s">
        <v>480</v>
      </c>
      <c r="C45" s="1" t="s">
        <v>186</v>
      </c>
      <c r="D45" s="1"/>
      <c r="E45" s="1"/>
      <c r="F45" s="1" t="s">
        <v>96</v>
      </c>
      <c r="G45" s="1" t="s">
        <v>149</v>
      </c>
      <c r="H45" s="3"/>
      <c r="I45" s="3"/>
      <c r="J45" s="3"/>
      <c r="K45" s="3">
        <v>1</v>
      </c>
      <c r="L45"/>
      <c r="M45">
        <v>1</v>
      </c>
      <c r="N45" s="3">
        <f t="shared" si="2"/>
        <v>1</v>
      </c>
      <c r="O45" s="41">
        <f t="shared" si="3"/>
        <v>0.2</v>
      </c>
      <c r="P45" s="10" t="str">
        <f t="shared" si="4"/>
        <v>||||||</v>
      </c>
    </row>
    <row r="46" spans="1:17" ht="16" x14ac:dyDescent="0.4">
      <c r="A46" s="17">
        <v>44</v>
      </c>
      <c r="B46" s="1" t="s">
        <v>85</v>
      </c>
      <c r="C46" s="1" t="s">
        <v>186</v>
      </c>
      <c r="D46" s="1"/>
      <c r="E46" s="1"/>
      <c r="F46" s="1" t="s">
        <v>96</v>
      </c>
      <c r="G46" s="1" t="s">
        <v>149</v>
      </c>
      <c r="H46" s="3"/>
      <c r="I46" s="3"/>
      <c r="J46" s="3"/>
      <c r="K46" s="3">
        <v>1</v>
      </c>
      <c r="L46"/>
      <c r="M46"/>
      <c r="N46" s="3">
        <f t="shared" si="2"/>
        <v>1</v>
      </c>
      <c r="O46" s="41">
        <f t="shared" si="3"/>
        <v>0.2</v>
      </c>
      <c r="P46" s="10" t="str">
        <f t="shared" si="4"/>
        <v>||||||</v>
      </c>
    </row>
    <row r="47" spans="1:17" ht="16" x14ac:dyDescent="0.4">
      <c r="A47" s="17">
        <v>45</v>
      </c>
      <c r="B47" s="1" t="s">
        <v>481</v>
      </c>
      <c r="C47" s="1" t="s">
        <v>186</v>
      </c>
      <c r="D47" t="s">
        <v>466</v>
      </c>
      <c r="E47" s="1"/>
      <c r="F47" s="1" t="s">
        <v>96</v>
      </c>
      <c r="G47" s="1" t="s">
        <v>149</v>
      </c>
      <c r="H47" s="3"/>
      <c r="I47" s="3">
        <v>1</v>
      </c>
      <c r="J47" s="3"/>
      <c r="K47" s="3">
        <v>1</v>
      </c>
      <c r="L47">
        <v>1</v>
      </c>
      <c r="M47">
        <v>1</v>
      </c>
      <c r="N47" s="3">
        <f t="shared" si="2"/>
        <v>3</v>
      </c>
      <c r="O47" s="41">
        <f t="shared" si="3"/>
        <v>0.6</v>
      </c>
      <c r="P47" s="10" t="str">
        <f t="shared" si="4"/>
        <v>||||||||||||||||||</v>
      </c>
    </row>
    <row r="48" spans="1:17" ht="16" x14ac:dyDescent="0.4">
      <c r="A48" s="17">
        <v>46</v>
      </c>
      <c r="B48" s="1" t="s">
        <v>132</v>
      </c>
      <c r="C48" s="1" t="s">
        <v>186</v>
      </c>
      <c r="D48" t="s">
        <v>482</v>
      </c>
      <c r="E48" s="1"/>
      <c r="F48" s="1" t="s">
        <v>96</v>
      </c>
      <c r="G48" s="1" t="s">
        <v>149</v>
      </c>
      <c r="H48" s="3"/>
      <c r="I48" s="3"/>
      <c r="J48" s="3"/>
      <c r="K48" s="3">
        <v>1</v>
      </c>
      <c r="L48"/>
      <c r="M48"/>
      <c r="N48" s="3">
        <f t="shared" si="2"/>
        <v>1</v>
      </c>
      <c r="O48" s="41">
        <f t="shared" si="3"/>
        <v>0.2</v>
      </c>
      <c r="P48" s="10" t="str">
        <f t="shared" si="4"/>
        <v>||||||</v>
      </c>
      <c r="Q48">
        <v>1</v>
      </c>
    </row>
    <row r="49" spans="1:16" ht="16" x14ac:dyDescent="0.4">
      <c r="A49" s="17">
        <v>47</v>
      </c>
      <c r="B49" s="1" t="s">
        <v>483</v>
      </c>
      <c r="C49" s="1" t="s">
        <v>187</v>
      </c>
      <c r="D49" t="s">
        <v>486</v>
      </c>
      <c r="E49" s="1"/>
      <c r="F49" s="1" t="s">
        <v>96</v>
      </c>
      <c r="G49" s="1" t="s">
        <v>149</v>
      </c>
      <c r="H49" s="3"/>
      <c r="I49" s="3">
        <v>1</v>
      </c>
      <c r="J49" s="3"/>
      <c r="K49" s="3">
        <v>1</v>
      </c>
      <c r="L49"/>
      <c r="M49">
        <v>1</v>
      </c>
      <c r="N49" s="3">
        <f t="shared" si="2"/>
        <v>2</v>
      </c>
      <c r="O49" s="41">
        <f t="shared" si="3"/>
        <v>0.4</v>
      </c>
      <c r="P49" s="10" t="str">
        <f t="shared" si="4"/>
        <v>||||||||||||</v>
      </c>
    </row>
    <row r="50" spans="1:16" ht="16" x14ac:dyDescent="0.4">
      <c r="A50" s="17">
        <v>48</v>
      </c>
      <c r="B50" s="1" t="s">
        <v>484</v>
      </c>
      <c r="C50" s="1" t="s">
        <v>186</v>
      </c>
      <c r="D50" t="s">
        <v>470</v>
      </c>
      <c r="E50" s="1"/>
      <c r="F50" s="1" t="s">
        <v>96</v>
      </c>
      <c r="G50" s="1" t="s">
        <v>149</v>
      </c>
      <c r="H50" s="3"/>
      <c r="I50" s="3"/>
      <c r="J50" s="3"/>
      <c r="K50" s="3">
        <v>1</v>
      </c>
      <c r="L50"/>
      <c r="M50"/>
      <c r="N50" s="3">
        <f t="shared" si="2"/>
        <v>1</v>
      </c>
      <c r="O50" s="41">
        <f t="shared" si="3"/>
        <v>0.2</v>
      </c>
      <c r="P50" s="10" t="str">
        <f t="shared" si="4"/>
        <v>||||||</v>
      </c>
    </row>
    <row r="51" spans="1:16" ht="16" x14ac:dyDescent="0.4">
      <c r="A51" s="17">
        <v>49</v>
      </c>
      <c r="B51" s="1" t="s">
        <v>485</v>
      </c>
      <c r="C51" s="1" t="s">
        <v>187</v>
      </c>
      <c r="D51" t="s">
        <v>487</v>
      </c>
      <c r="E51" s="1"/>
      <c r="F51" s="1" t="s">
        <v>96</v>
      </c>
      <c r="G51" s="1" t="s">
        <v>149</v>
      </c>
      <c r="H51" s="3"/>
      <c r="I51" s="3">
        <v>1</v>
      </c>
      <c r="J51" s="3"/>
      <c r="K51" s="3">
        <v>1</v>
      </c>
      <c r="L51">
        <v>1</v>
      </c>
      <c r="M51">
        <v>1</v>
      </c>
      <c r="N51" s="3">
        <f t="shared" si="2"/>
        <v>3</v>
      </c>
      <c r="O51" s="41">
        <f t="shared" si="3"/>
        <v>0.6</v>
      </c>
      <c r="P51" s="10" t="str">
        <f t="shared" si="4"/>
        <v>||||||||||||||||||</v>
      </c>
    </row>
    <row r="52" spans="1:16" ht="16" x14ac:dyDescent="0.4">
      <c r="A52" s="17">
        <v>50</v>
      </c>
      <c r="B52" s="1" t="s">
        <v>369</v>
      </c>
      <c r="C52" s="1" t="s">
        <v>191</v>
      </c>
      <c r="E52" s="1"/>
      <c r="F52" s="1" t="s">
        <v>96</v>
      </c>
      <c r="G52" s="1" t="s">
        <v>149</v>
      </c>
      <c r="H52" s="3"/>
      <c r="I52" s="3">
        <v>1</v>
      </c>
      <c r="J52" s="3"/>
      <c r="K52" s="3"/>
      <c r="L52"/>
      <c r="M52"/>
      <c r="N52" s="3">
        <f t="shared" si="2"/>
        <v>1</v>
      </c>
      <c r="O52" s="41">
        <f t="shared" si="3"/>
        <v>0.2</v>
      </c>
      <c r="P52" s="10"/>
    </row>
    <row r="53" spans="1:16" ht="16" x14ac:dyDescent="0.4">
      <c r="A53" s="17">
        <v>51</v>
      </c>
      <c r="B53" s="1" t="s">
        <v>138</v>
      </c>
      <c r="C53" s="1" t="s">
        <v>186</v>
      </c>
      <c r="E53" s="1"/>
      <c r="F53" s="1" t="s">
        <v>96</v>
      </c>
      <c r="G53" s="1" t="s">
        <v>149</v>
      </c>
      <c r="H53" s="3"/>
      <c r="I53" s="3"/>
      <c r="J53" s="3"/>
      <c r="K53" s="3"/>
      <c r="L53">
        <v>1</v>
      </c>
      <c r="M53"/>
      <c r="N53" s="3">
        <f t="shared" si="2"/>
        <v>1</v>
      </c>
      <c r="O53" s="41">
        <f t="shared" si="3"/>
        <v>0.2</v>
      </c>
      <c r="P53" s="10"/>
    </row>
    <row r="54" spans="1:16" ht="16" x14ac:dyDescent="0.4">
      <c r="A54" s="17">
        <v>52</v>
      </c>
      <c r="B54" s="1" t="s">
        <v>622</v>
      </c>
      <c r="C54" s="1" t="s">
        <v>186</v>
      </c>
      <c r="E54" s="1"/>
      <c r="F54" s="1" t="s">
        <v>96</v>
      </c>
      <c r="G54" s="1" t="s">
        <v>149</v>
      </c>
      <c r="H54" s="3"/>
      <c r="I54" s="3"/>
      <c r="J54" s="3"/>
      <c r="K54" s="3"/>
      <c r="L54">
        <v>1</v>
      </c>
      <c r="M54"/>
      <c r="N54" s="3">
        <f t="shared" si="2"/>
        <v>1</v>
      </c>
      <c r="O54" s="41">
        <f t="shared" si="3"/>
        <v>0.2</v>
      </c>
      <c r="P54" s="10"/>
    </row>
    <row r="55" spans="1:16" ht="16" x14ac:dyDescent="0.4">
      <c r="A55" s="17">
        <v>53</v>
      </c>
      <c r="B55" s="1" t="s">
        <v>404</v>
      </c>
      <c r="C55" s="1" t="s">
        <v>57</v>
      </c>
      <c r="D55" s="1"/>
      <c r="E55" s="1"/>
      <c r="F55" s="1" t="s">
        <v>96</v>
      </c>
      <c r="G55" s="1" t="s">
        <v>149</v>
      </c>
      <c r="H55" s="3"/>
      <c r="I55" s="3">
        <v>1</v>
      </c>
      <c r="J55" s="3">
        <v>1</v>
      </c>
      <c r="K55" s="3"/>
      <c r="L55"/>
      <c r="M55"/>
      <c r="N55" s="3">
        <f t="shared" si="2"/>
        <v>2</v>
      </c>
      <c r="O55" s="41">
        <f t="shared" si="3"/>
        <v>0.4</v>
      </c>
      <c r="P55" s="10" t="str">
        <f>REPT("||||||",N55)</f>
        <v>||||||||||||</v>
      </c>
    </row>
    <row r="56" spans="1:16" ht="16" x14ac:dyDescent="0.4">
      <c r="B56" s="119" t="s">
        <v>761</v>
      </c>
      <c r="C56" t="s">
        <v>186</v>
      </c>
      <c r="F56" s="117" t="s">
        <v>96</v>
      </c>
      <c r="G56" s="1" t="s">
        <v>149</v>
      </c>
      <c r="L56"/>
      <c r="M56">
        <v>1</v>
      </c>
      <c r="O56" s="118"/>
      <c r="P56" s="10"/>
    </row>
    <row r="57" spans="1:16" ht="16" x14ac:dyDescent="0.4">
      <c r="B57" s="119" t="s">
        <v>762</v>
      </c>
      <c r="C57" t="s">
        <v>186</v>
      </c>
      <c r="F57" s="117" t="s">
        <v>96</v>
      </c>
      <c r="G57" s="1" t="s">
        <v>149</v>
      </c>
      <c r="L57"/>
      <c r="M57">
        <v>1</v>
      </c>
      <c r="O57" s="118"/>
      <c r="P57" s="10"/>
    </row>
    <row r="58" spans="1:16" ht="16" x14ac:dyDescent="0.4">
      <c r="B58" s="119" t="s">
        <v>763</v>
      </c>
      <c r="C58" t="s">
        <v>89</v>
      </c>
      <c r="F58" s="117" t="s">
        <v>96</v>
      </c>
      <c r="G58" s="1" t="s">
        <v>149</v>
      </c>
      <c r="L58"/>
      <c r="M58">
        <v>1</v>
      </c>
      <c r="O58" s="118"/>
      <c r="P58" s="10"/>
    </row>
    <row r="59" spans="1:16" ht="16" x14ac:dyDescent="0.4">
      <c r="B59" s="119" t="s">
        <v>764</v>
      </c>
      <c r="C59" t="s">
        <v>765</v>
      </c>
      <c r="F59" s="117" t="s">
        <v>96</v>
      </c>
      <c r="G59" s="117" t="s">
        <v>179</v>
      </c>
      <c r="L59"/>
      <c r="M59">
        <v>1</v>
      </c>
      <c r="O59" s="118"/>
      <c r="P59" s="10"/>
    </row>
    <row r="60" spans="1:16" ht="16" x14ac:dyDescent="0.4">
      <c r="B60" s="119" t="s">
        <v>766</v>
      </c>
      <c r="C60" t="s">
        <v>103</v>
      </c>
      <c r="F60" s="117" t="s">
        <v>96</v>
      </c>
      <c r="G60" s="1" t="s">
        <v>149</v>
      </c>
      <c r="L60"/>
      <c r="M60">
        <v>1</v>
      </c>
      <c r="O60" s="118"/>
      <c r="P60" s="10"/>
    </row>
    <row r="61" spans="1:16" ht="16" x14ac:dyDescent="0.4">
      <c r="B61" s="119" t="s">
        <v>677</v>
      </c>
      <c r="C61" t="s">
        <v>58</v>
      </c>
      <c r="F61" s="117" t="s">
        <v>97</v>
      </c>
      <c r="G61" s="117" t="s">
        <v>179</v>
      </c>
      <c r="L61"/>
      <c r="M61">
        <v>1</v>
      </c>
      <c r="O61" s="118"/>
      <c r="P61" s="10"/>
    </row>
    <row r="62" spans="1:16" ht="16" x14ac:dyDescent="0.4">
      <c r="B62" s="119"/>
      <c r="L62"/>
      <c r="M62"/>
      <c r="O62" s="118"/>
      <c r="P62" s="10"/>
    </row>
    <row r="63" spans="1:16" ht="16" x14ac:dyDescent="0.4">
      <c r="L63"/>
      <c r="M63"/>
      <c r="O63" s="118"/>
      <c r="P63" s="10"/>
    </row>
    <row r="64" spans="1:16" ht="16" x14ac:dyDescent="0.4">
      <c r="L64"/>
      <c r="M64"/>
      <c r="O64" s="118"/>
      <c r="P64" s="10"/>
    </row>
    <row r="65" spans="2:17" ht="16" x14ac:dyDescent="0.4">
      <c r="O65" s="38"/>
      <c r="P65" s="10"/>
      <c r="Q65" s="10"/>
    </row>
    <row r="66" spans="2:17" ht="16" x14ac:dyDescent="0.4">
      <c r="G66" t="s">
        <v>401</v>
      </c>
      <c r="H66" s="4">
        <f t="shared" ref="H66:N66" si="5">SUM(H3:H55)</f>
        <v>26</v>
      </c>
      <c r="I66" s="4">
        <f t="shared" si="5"/>
        <v>27</v>
      </c>
      <c r="J66" s="4">
        <f t="shared" si="5"/>
        <v>33</v>
      </c>
      <c r="K66" s="4">
        <f t="shared" si="5"/>
        <v>31</v>
      </c>
      <c r="L66" s="4">
        <f t="shared" si="5"/>
        <v>28</v>
      </c>
      <c r="M66" s="4">
        <f t="shared" si="5"/>
        <v>24</v>
      </c>
      <c r="N66" s="4">
        <f t="shared" si="5"/>
        <v>150</v>
      </c>
      <c r="P66" s="10"/>
      <c r="Q66" s="4">
        <f>SUM(Q3:Q55)</f>
        <v>11</v>
      </c>
    </row>
    <row r="67" spans="2:17" ht="16" x14ac:dyDescent="0.4">
      <c r="G67" t="s">
        <v>1068</v>
      </c>
      <c r="H67" s="4">
        <v>4</v>
      </c>
      <c r="I67" s="4">
        <v>2</v>
      </c>
      <c r="J67" s="4">
        <v>2</v>
      </c>
      <c r="L67" s="4">
        <v>0</v>
      </c>
      <c r="M67" s="4">
        <v>3</v>
      </c>
      <c r="P67" s="10" t="str">
        <f t="shared" ref="P67:P70" si="6">REPT("|",N67)</f>
        <v/>
      </c>
      <c r="Q67" s="10"/>
    </row>
    <row r="68" spans="2:17" ht="44" x14ac:dyDescent="0.4">
      <c r="B68" s="1" t="s">
        <v>179</v>
      </c>
      <c r="C68" s="1" t="s">
        <v>181</v>
      </c>
      <c r="D68" s="1"/>
      <c r="E68" s="1">
        <f>COUNTIFS($F$3:$F$61,C68,$G$3:$G$61,B68)-1</f>
        <v>1</v>
      </c>
      <c r="F68" s="1"/>
      <c r="G68" s="1"/>
      <c r="H68" s="1"/>
      <c r="N68" s="42" t="s">
        <v>31</v>
      </c>
      <c r="O68" s="19">
        <f>COUNTIF(O3:O55,"&gt;=80%")</f>
        <v>20</v>
      </c>
      <c r="P68" s="10" t="e">
        <f t="shared" si="6"/>
        <v>#VALUE!</v>
      </c>
      <c r="Q68" s="10"/>
    </row>
    <row r="69" spans="2:17" ht="44" x14ac:dyDescent="0.4">
      <c r="B69" s="1" t="s">
        <v>179</v>
      </c>
      <c r="C69" s="1" t="s">
        <v>182</v>
      </c>
      <c r="D69" s="1"/>
      <c r="E69" s="1">
        <f>COUNTIFS($F$3:$F$61,C69,$G$3:$G$61,B69)-1</f>
        <v>0</v>
      </c>
      <c r="F69" s="1"/>
      <c r="G69" s="1"/>
      <c r="H69" s="1"/>
      <c r="N69" s="42" t="s">
        <v>51</v>
      </c>
      <c r="O69" s="19">
        <f>COUNTIF(O3:O55,"&gt;=50%")</f>
        <v>29</v>
      </c>
      <c r="P69" s="10" t="e">
        <f t="shared" si="6"/>
        <v>#VALUE!</v>
      </c>
      <c r="Q69" s="10"/>
    </row>
    <row r="70" spans="2:17" ht="58.5" x14ac:dyDescent="0.4">
      <c r="B70" s="1" t="s">
        <v>149</v>
      </c>
      <c r="C70" s="1" t="s">
        <v>181</v>
      </c>
      <c r="D70" s="1"/>
      <c r="E70" s="1">
        <f>COUNTIFS($F$3:$F$61,C70,$G$3:$G$61,B70)-2</f>
        <v>39</v>
      </c>
      <c r="F70" s="1"/>
      <c r="G70" s="1"/>
      <c r="H70" s="1"/>
      <c r="N70" s="42" t="s">
        <v>52</v>
      </c>
      <c r="O70" s="19">
        <f>COUNTIF(N3:N55,"&gt;=4")</f>
        <v>22</v>
      </c>
      <c r="P70" s="10" t="e">
        <f t="shared" si="6"/>
        <v>#VALUE!</v>
      </c>
      <c r="Q70" s="10"/>
    </row>
    <row r="71" spans="2:17" ht="58" x14ac:dyDescent="0.35">
      <c r="B71" s="1" t="s">
        <v>149</v>
      </c>
      <c r="C71" s="1" t="s">
        <v>182</v>
      </c>
      <c r="D71" s="1"/>
      <c r="E71" s="1">
        <f>COUNTIFS($F$3:$F$61,C71,$G$3:$G$61,B71)</f>
        <v>15</v>
      </c>
      <c r="F71" s="1"/>
      <c r="G71" s="1"/>
      <c r="H71" s="1"/>
      <c r="N71" s="42" t="s">
        <v>53</v>
      </c>
      <c r="O71" s="19">
        <f>COUNTIF(N3:N55,"&gt;=3")</f>
        <v>29</v>
      </c>
    </row>
  </sheetData>
  <autoFilter ref="A2:V61" xr:uid="{DE9B5568-2FC1-4093-80BB-C5E63953A76D}">
    <sortState xmlns:xlrd2="http://schemas.microsoft.com/office/spreadsheetml/2017/richdata2" ref="A4:V55">
      <sortCondition ref="B2:B55"/>
    </sortState>
  </autoFilter>
  <mergeCells count="7">
    <mergeCell ref="P1:P2"/>
    <mergeCell ref="A1:A2"/>
    <mergeCell ref="B1:B2"/>
    <mergeCell ref="G1:G2"/>
    <mergeCell ref="H1:L1"/>
    <mergeCell ref="F1:F2"/>
    <mergeCell ref="E1:E2"/>
  </mergeCells>
  <conditionalFormatting sqref="A3:G64 H2:O64">
    <cfRule type="expression" dxfId="85" priority="12">
      <formula>MOD(ROW(),2)=0</formula>
    </cfRule>
  </conditionalFormatting>
  <conditionalFormatting sqref="A1:O2 A65:O65">
    <cfRule type="expression" dxfId="84" priority="18">
      <formula>MOD(ROW(),2)=0</formula>
    </cfRule>
  </conditionalFormatting>
  <conditionalFormatting sqref="B68:B69 G19:G64">
    <cfRule type="expression" dxfId="83" priority="8">
      <formula>MOD(ROW(),2)=0</formula>
    </cfRule>
  </conditionalFormatting>
  <conditionalFormatting sqref="B68:B69">
    <cfRule type="expression" dxfId="82" priority="9">
      <formula>MOD(ROW(),2)=0</formula>
    </cfRule>
  </conditionalFormatting>
  <conditionalFormatting sqref="B68:B71">
    <cfRule type="expression" dxfId="81" priority="3">
      <formula>MOD(ROW(),2)=0</formula>
    </cfRule>
  </conditionalFormatting>
  <conditionalFormatting sqref="B70">
    <cfRule type="expression" dxfId="80" priority="1">
      <formula>MOD(ROW(),2)=0</formula>
    </cfRule>
    <cfRule type="expression" dxfId="79" priority="2">
      <formula>MOD(ROW(),2)=0</formula>
    </cfRule>
  </conditionalFormatting>
  <conditionalFormatting sqref="B71">
    <cfRule type="expression" dxfId="78" priority="5">
      <formula>MOD(ROW(),2)=0</formula>
    </cfRule>
    <cfRule type="expression" dxfId="77" priority="6">
      <formula>MOD(ROW(),2)=0</formula>
    </cfRule>
  </conditionalFormatting>
  <conditionalFormatting sqref="G3:G18">
    <cfRule type="expression" dxfId="76" priority="14">
      <formula>MOD(ROW(),2)=0</formula>
    </cfRule>
    <cfRule type="expression" dxfId="75" priority="15">
      <formula>MOD(ROW(),2)=0</formula>
    </cfRule>
  </conditionalFormatting>
  <conditionalFormatting sqref="G67">
    <cfRule type="expression" dxfId="74" priority="25">
      <formula>MOD(ROW(),2)=0</formula>
    </cfRule>
  </conditionalFormatting>
  <pageMargins left="0.7" right="0.7" top="0.75" bottom="0.75" header="0.3" footer="0.3"/>
  <pageSetup paperSize="9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BC33-880C-4246-AF2E-8A35F7DA7284}">
  <sheetPr>
    <tabColor rgb="FFFFC000"/>
  </sheetPr>
  <dimension ref="A1:U52"/>
  <sheetViews>
    <sheetView topLeftCell="B1" zoomScale="85" zoomScaleNormal="85" workbookViewId="0">
      <pane ySplit="2" topLeftCell="A45" activePane="bottomLeft" state="frozen"/>
      <selection pane="bottomLeft" activeCell="E49" sqref="E49:E52"/>
    </sheetView>
  </sheetViews>
  <sheetFormatPr defaultRowHeight="14.5" x14ac:dyDescent="0.35"/>
  <cols>
    <col min="1" max="1" width="8.7265625" style="18"/>
    <col min="2" max="2" width="25.54296875" customWidth="1"/>
    <col min="3" max="4" width="11.90625" customWidth="1"/>
    <col min="5" max="5" width="14.7265625" customWidth="1"/>
    <col min="6" max="6" width="9.1796875" customWidth="1"/>
    <col min="7" max="7" width="14.453125" customWidth="1"/>
    <col min="8" max="8" width="10.1796875" style="4" customWidth="1"/>
    <col min="9" max="9" width="10" style="4" customWidth="1"/>
    <col min="10" max="10" width="10.1796875" style="4" customWidth="1"/>
    <col min="11" max="11" width="11.1796875" style="4" customWidth="1"/>
    <col min="12" max="12" width="9.7265625" style="4" customWidth="1"/>
    <col min="13" max="14" width="14.81640625" style="4" customWidth="1"/>
    <col min="15" max="15" width="20.1796875" customWidth="1"/>
    <col min="16" max="16" width="11.81640625" customWidth="1"/>
  </cols>
  <sheetData>
    <row r="1" spans="1:21" x14ac:dyDescent="0.35">
      <c r="A1" s="134"/>
      <c r="B1" s="134" t="s">
        <v>13</v>
      </c>
      <c r="C1" s="14"/>
      <c r="D1" s="14"/>
      <c r="E1" s="138" t="s">
        <v>16</v>
      </c>
      <c r="F1" s="138" t="s">
        <v>18</v>
      </c>
      <c r="G1" s="138" t="s">
        <v>19</v>
      </c>
      <c r="H1" s="135" t="s">
        <v>20</v>
      </c>
      <c r="I1" s="135"/>
      <c r="J1" s="135"/>
      <c r="K1" s="135"/>
      <c r="L1" s="135"/>
      <c r="M1" s="9"/>
      <c r="N1" s="9"/>
      <c r="O1" s="133" t="s">
        <v>21</v>
      </c>
      <c r="P1" s="133" t="s">
        <v>22</v>
      </c>
    </row>
    <row r="2" spans="1:21" ht="29" x14ac:dyDescent="0.35">
      <c r="A2" s="134"/>
      <c r="B2" s="134"/>
      <c r="C2" s="15" t="s">
        <v>46</v>
      </c>
      <c r="D2" s="15" t="s">
        <v>1129</v>
      </c>
      <c r="E2" s="139"/>
      <c r="F2" s="139"/>
      <c r="G2" s="139"/>
      <c r="H2" s="7">
        <v>46286</v>
      </c>
      <c r="I2" s="7" t="s">
        <v>1087</v>
      </c>
      <c r="J2" s="7"/>
      <c r="K2" s="7"/>
      <c r="L2" s="7"/>
      <c r="M2" s="9" t="s">
        <v>23</v>
      </c>
      <c r="N2" s="9" t="s">
        <v>24</v>
      </c>
      <c r="O2" s="133"/>
      <c r="P2" s="133"/>
      <c r="T2" t="s">
        <v>25</v>
      </c>
    </row>
    <row r="3" spans="1:21" ht="16" x14ac:dyDescent="0.4">
      <c r="A3" s="17">
        <v>1</v>
      </c>
      <c r="B3" s="107" t="s">
        <v>1069</v>
      </c>
      <c r="C3" s="107" t="s">
        <v>1081</v>
      </c>
      <c r="D3" s="107"/>
      <c r="E3" s="1"/>
      <c r="F3" s="1" t="s">
        <v>96</v>
      </c>
      <c r="G3" s="1" t="s">
        <v>149</v>
      </c>
      <c r="H3" s="3"/>
      <c r="I3" s="3">
        <v>1</v>
      </c>
      <c r="J3" s="3"/>
      <c r="K3" s="3"/>
      <c r="L3" s="3"/>
      <c r="M3" s="3">
        <f t="shared" ref="M3:M16" si="0">SUM(H3:L3)</f>
        <v>1</v>
      </c>
      <c r="N3" s="41">
        <f t="shared" ref="N3:N22" si="1">SUM(H3:L3)/4</f>
        <v>0.25</v>
      </c>
      <c r="O3" s="1"/>
      <c r="P3" s="10" t="str">
        <f>REPT("||||||",M3)</f>
        <v>||||||</v>
      </c>
      <c r="T3">
        <v>1</v>
      </c>
      <c r="U3" t="s">
        <v>26</v>
      </c>
    </row>
    <row r="4" spans="1:21" ht="16" x14ac:dyDescent="0.4">
      <c r="A4" s="17">
        <v>2</v>
      </c>
      <c r="B4" s="107" t="s">
        <v>252</v>
      </c>
      <c r="C4" s="107" t="s">
        <v>222</v>
      </c>
      <c r="D4" s="107"/>
      <c r="E4" s="1"/>
      <c r="F4" s="1" t="s">
        <v>96</v>
      </c>
      <c r="G4" s="1" t="s">
        <v>149</v>
      </c>
      <c r="H4" s="3">
        <v>1</v>
      </c>
      <c r="I4" s="3">
        <v>1</v>
      </c>
      <c r="J4" s="3"/>
      <c r="K4" s="3"/>
      <c r="L4" s="3"/>
      <c r="M4" s="3">
        <f t="shared" si="0"/>
        <v>2</v>
      </c>
      <c r="N4" s="41">
        <f t="shared" si="1"/>
        <v>0.5</v>
      </c>
      <c r="O4" s="1"/>
      <c r="P4" s="10" t="str">
        <f>REPT("|",M4)</f>
        <v>||</v>
      </c>
    </row>
    <row r="5" spans="1:21" ht="16" x14ac:dyDescent="0.4">
      <c r="A5" s="17">
        <v>3</v>
      </c>
      <c r="B5" s="107" t="s">
        <v>528</v>
      </c>
      <c r="C5" s="107" t="s">
        <v>246</v>
      </c>
      <c r="D5" s="107"/>
      <c r="E5" s="1"/>
      <c r="F5" s="1" t="s">
        <v>97</v>
      </c>
      <c r="G5" s="1" t="s">
        <v>149</v>
      </c>
      <c r="H5" s="3">
        <v>1</v>
      </c>
      <c r="I5" s="3">
        <v>1</v>
      </c>
      <c r="J5" s="3"/>
      <c r="K5" s="3"/>
      <c r="L5" s="3"/>
      <c r="M5" s="3">
        <f t="shared" si="0"/>
        <v>2</v>
      </c>
      <c r="N5" s="41">
        <f t="shared" si="1"/>
        <v>0.5</v>
      </c>
      <c r="O5" s="1"/>
      <c r="P5" s="10" t="str">
        <f>REPT("||||||",M5)</f>
        <v>||||||||||||</v>
      </c>
    </row>
    <row r="6" spans="1:21" ht="16" x14ac:dyDescent="0.4">
      <c r="A6" s="17">
        <v>4</v>
      </c>
      <c r="B6" s="107" t="s">
        <v>279</v>
      </c>
      <c r="C6" s="107" t="s">
        <v>1082</v>
      </c>
      <c r="D6" s="107"/>
      <c r="E6" s="1"/>
      <c r="F6" s="1" t="s">
        <v>97</v>
      </c>
      <c r="G6" s="1" t="s">
        <v>149</v>
      </c>
      <c r="H6" s="3"/>
      <c r="I6" s="3">
        <v>1</v>
      </c>
      <c r="J6" s="3"/>
      <c r="K6" s="3"/>
      <c r="L6" s="3"/>
      <c r="M6" s="3">
        <f t="shared" si="0"/>
        <v>1</v>
      </c>
      <c r="N6" s="41">
        <f t="shared" si="1"/>
        <v>0.25</v>
      </c>
      <c r="O6" s="1"/>
      <c r="P6" s="10" t="str">
        <f>REPT("|",M6)</f>
        <v>|</v>
      </c>
      <c r="U6" s="2"/>
    </row>
    <row r="7" spans="1:21" s="20" customFormat="1" ht="16" x14ac:dyDescent="0.4">
      <c r="A7" s="17">
        <v>5</v>
      </c>
      <c r="B7" s="107" t="s">
        <v>1070</v>
      </c>
      <c r="C7" s="107" t="s">
        <v>1081</v>
      </c>
      <c r="D7" s="107"/>
      <c r="E7" s="1"/>
      <c r="F7" s="1" t="s">
        <v>97</v>
      </c>
      <c r="G7" s="1" t="s">
        <v>149</v>
      </c>
      <c r="H7" s="3"/>
      <c r="I7" s="3">
        <v>1</v>
      </c>
      <c r="J7" s="3"/>
      <c r="K7" s="3"/>
      <c r="L7" s="3"/>
      <c r="M7" s="3">
        <f t="shared" si="0"/>
        <v>1</v>
      </c>
      <c r="N7" s="41">
        <f t="shared" si="1"/>
        <v>0.25</v>
      </c>
      <c r="O7" s="1"/>
      <c r="P7" s="10" t="str">
        <f>REPT("||||||",M7)</f>
        <v>||||||</v>
      </c>
      <c r="Q7"/>
      <c r="R7"/>
      <c r="S7"/>
      <c r="T7"/>
      <c r="U7" s="2"/>
    </row>
    <row r="8" spans="1:21" s="23" customFormat="1" ht="16" x14ac:dyDescent="0.4">
      <c r="A8" s="17">
        <v>6</v>
      </c>
      <c r="B8" s="107" t="s">
        <v>1071</v>
      </c>
      <c r="C8" s="107" t="s">
        <v>246</v>
      </c>
      <c r="D8" s="107"/>
      <c r="E8" s="22"/>
      <c r="F8" s="1" t="s">
        <v>96</v>
      </c>
      <c r="G8" s="1" t="s">
        <v>149</v>
      </c>
      <c r="H8" s="3">
        <v>1</v>
      </c>
      <c r="I8" s="3">
        <v>1</v>
      </c>
      <c r="J8" s="21"/>
      <c r="K8" s="21"/>
      <c r="L8" s="21"/>
      <c r="M8" s="3">
        <f t="shared" si="0"/>
        <v>2</v>
      </c>
      <c r="N8" s="44">
        <f t="shared" si="1"/>
        <v>0.5</v>
      </c>
      <c r="O8" s="22"/>
      <c r="P8" s="24"/>
      <c r="U8" s="47"/>
    </row>
    <row r="9" spans="1:21" ht="16" x14ac:dyDescent="0.4">
      <c r="A9" s="17">
        <v>7</v>
      </c>
      <c r="B9" s="107" t="s">
        <v>223</v>
      </c>
      <c r="C9" s="107" t="s">
        <v>246</v>
      </c>
      <c r="D9" s="107"/>
      <c r="E9" s="1"/>
      <c r="F9" s="1" t="s">
        <v>96</v>
      </c>
      <c r="G9" s="1" t="s">
        <v>149</v>
      </c>
      <c r="H9" s="3">
        <v>1</v>
      </c>
      <c r="I9" s="3">
        <v>1</v>
      </c>
      <c r="J9" s="3"/>
      <c r="K9" s="3"/>
      <c r="L9" s="3"/>
      <c r="M9" s="3">
        <f t="shared" si="0"/>
        <v>2</v>
      </c>
      <c r="N9" s="41">
        <f t="shared" si="1"/>
        <v>0.5</v>
      </c>
      <c r="O9" s="1"/>
      <c r="P9" s="10"/>
      <c r="U9" s="2"/>
    </row>
    <row r="10" spans="1:21" ht="16" x14ac:dyDescent="0.4">
      <c r="A10" s="17">
        <v>8</v>
      </c>
      <c r="B10" s="107" t="s">
        <v>1072</v>
      </c>
      <c r="C10" s="107" t="s">
        <v>246</v>
      </c>
      <c r="D10" s="107"/>
      <c r="E10" s="1"/>
      <c r="F10" s="1" t="s">
        <v>96</v>
      </c>
      <c r="G10" s="1" t="s">
        <v>149</v>
      </c>
      <c r="H10" s="3"/>
      <c r="I10" s="3">
        <v>1</v>
      </c>
      <c r="J10" s="3"/>
      <c r="K10" s="3"/>
      <c r="L10" s="3"/>
      <c r="M10" s="3">
        <f t="shared" si="0"/>
        <v>1</v>
      </c>
      <c r="N10" s="41">
        <f t="shared" si="1"/>
        <v>0.25</v>
      </c>
      <c r="O10" s="1"/>
      <c r="P10" s="10" t="str">
        <f>REPT("||||||",M10)</f>
        <v>||||||</v>
      </c>
    </row>
    <row r="11" spans="1:21" ht="16" x14ac:dyDescent="0.4">
      <c r="A11" s="17">
        <v>9</v>
      </c>
      <c r="B11" s="107" t="s">
        <v>83</v>
      </c>
      <c r="C11" s="107" t="s">
        <v>222</v>
      </c>
      <c r="D11" s="107"/>
      <c r="E11" s="1"/>
      <c r="F11" s="1" t="s">
        <v>96</v>
      </c>
      <c r="G11" s="1" t="s">
        <v>149</v>
      </c>
      <c r="H11" s="3">
        <v>1</v>
      </c>
      <c r="I11" s="3">
        <v>1</v>
      </c>
      <c r="J11" s="3"/>
      <c r="K11" s="3"/>
      <c r="L11" s="3"/>
      <c r="M11" s="3">
        <f t="shared" si="0"/>
        <v>2</v>
      </c>
      <c r="N11" s="41">
        <f t="shared" si="1"/>
        <v>0.5</v>
      </c>
      <c r="O11" s="1"/>
      <c r="P11" s="10" t="str">
        <f>REPT("|",M11)</f>
        <v>||</v>
      </c>
    </row>
    <row r="12" spans="1:21" ht="16" x14ac:dyDescent="0.4">
      <c r="A12" s="17">
        <v>10</v>
      </c>
      <c r="B12" s="107" t="s">
        <v>236</v>
      </c>
      <c r="C12" s="107" t="s">
        <v>222</v>
      </c>
      <c r="D12" s="107"/>
      <c r="E12" s="1"/>
      <c r="F12" s="1" t="s">
        <v>96</v>
      </c>
      <c r="G12" s="1" t="s">
        <v>149</v>
      </c>
      <c r="H12" s="3">
        <v>1</v>
      </c>
      <c r="I12" s="3">
        <v>1</v>
      </c>
      <c r="J12" s="3"/>
      <c r="K12" s="3"/>
      <c r="L12" s="3"/>
      <c r="M12" s="3">
        <f t="shared" si="0"/>
        <v>2</v>
      </c>
      <c r="N12" s="41">
        <f t="shared" si="1"/>
        <v>0.5</v>
      </c>
      <c r="O12" s="1"/>
      <c r="P12" s="10" t="str">
        <f>REPT("||||||",M12)</f>
        <v>||||||||||||</v>
      </c>
    </row>
    <row r="13" spans="1:21" ht="29" x14ac:dyDescent="0.4">
      <c r="A13" s="17">
        <v>11</v>
      </c>
      <c r="B13" s="107" t="s">
        <v>511</v>
      </c>
      <c r="C13" s="107" t="s">
        <v>1083</v>
      </c>
      <c r="D13" s="107"/>
      <c r="E13" s="1"/>
      <c r="F13" s="1" t="s">
        <v>96</v>
      </c>
      <c r="G13" s="1" t="s">
        <v>149</v>
      </c>
      <c r="H13" s="3">
        <v>1</v>
      </c>
      <c r="I13" s="3">
        <v>1</v>
      </c>
      <c r="J13" s="3"/>
      <c r="K13" s="3"/>
      <c r="L13" s="3"/>
      <c r="M13" s="3">
        <f t="shared" si="0"/>
        <v>2</v>
      </c>
      <c r="N13" s="41">
        <f t="shared" si="1"/>
        <v>0.5</v>
      </c>
      <c r="O13" s="1"/>
      <c r="P13" s="10" t="str">
        <f>REPT("||||||",M13)</f>
        <v>||||||||||||</v>
      </c>
    </row>
    <row r="14" spans="1:21" ht="29" x14ac:dyDescent="0.4">
      <c r="A14" s="17">
        <v>12</v>
      </c>
      <c r="B14" s="107" t="s">
        <v>431</v>
      </c>
      <c r="C14" s="107" t="s">
        <v>1083</v>
      </c>
      <c r="D14" s="107"/>
      <c r="E14" s="1"/>
      <c r="F14" s="1" t="s">
        <v>97</v>
      </c>
      <c r="G14" s="1" t="s">
        <v>149</v>
      </c>
      <c r="H14" s="3">
        <v>1</v>
      </c>
      <c r="I14" s="3">
        <v>1</v>
      </c>
      <c r="J14" s="3"/>
      <c r="K14" s="3"/>
      <c r="L14" s="3"/>
      <c r="M14" s="3">
        <f t="shared" si="0"/>
        <v>2</v>
      </c>
      <c r="N14" s="41">
        <f t="shared" si="1"/>
        <v>0.5</v>
      </c>
      <c r="O14" s="1"/>
      <c r="P14" s="10" t="str">
        <f>REPT("||||||",M14)</f>
        <v>||||||||||||</v>
      </c>
      <c r="T14">
        <v>0</v>
      </c>
      <c r="U14" t="s">
        <v>27</v>
      </c>
    </row>
    <row r="15" spans="1:21" ht="16" x14ac:dyDescent="0.4">
      <c r="A15" s="17">
        <v>13</v>
      </c>
      <c r="B15" s="107" t="s">
        <v>839</v>
      </c>
      <c r="C15" s="107" t="s">
        <v>1084</v>
      </c>
      <c r="D15" s="107"/>
      <c r="E15" s="1"/>
      <c r="F15" s="1" t="s">
        <v>97</v>
      </c>
      <c r="G15" s="1" t="s">
        <v>149</v>
      </c>
      <c r="H15" s="3">
        <v>1</v>
      </c>
      <c r="I15" s="3">
        <v>1</v>
      </c>
      <c r="J15" s="3"/>
      <c r="K15" s="3"/>
      <c r="L15" s="3"/>
      <c r="M15" s="3">
        <f t="shared" si="0"/>
        <v>2</v>
      </c>
      <c r="N15" s="41">
        <f t="shared" si="1"/>
        <v>0.5</v>
      </c>
      <c r="O15" s="1"/>
      <c r="P15" s="10" t="str">
        <f>REPT("|",M15)</f>
        <v>||</v>
      </c>
    </row>
    <row r="16" spans="1:21" ht="16" x14ac:dyDescent="0.4">
      <c r="A16" s="17">
        <v>14</v>
      </c>
      <c r="B16" s="107" t="s">
        <v>1073</v>
      </c>
      <c r="C16" s="107" t="s">
        <v>1085</v>
      </c>
      <c r="D16" s="107"/>
      <c r="E16" s="1"/>
      <c r="F16" s="1" t="s">
        <v>96</v>
      </c>
      <c r="G16" s="1" t="s">
        <v>149</v>
      </c>
      <c r="H16" s="3"/>
      <c r="I16" s="3">
        <v>1</v>
      </c>
      <c r="J16" s="3"/>
      <c r="K16" s="3"/>
      <c r="L16" s="3"/>
      <c r="M16" s="3">
        <f t="shared" si="0"/>
        <v>1</v>
      </c>
      <c r="N16" s="41">
        <f t="shared" si="1"/>
        <v>0.25</v>
      </c>
      <c r="O16" s="1"/>
      <c r="P16" s="10" t="str">
        <f>REPT("|",M16)</f>
        <v>|</v>
      </c>
    </row>
    <row r="17" spans="1:21" ht="16" x14ac:dyDescent="0.4">
      <c r="A17" s="17">
        <v>15</v>
      </c>
      <c r="B17" s="107" t="s">
        <v>1074</v>
      </c>
      <c r="C17" s="107" t="s">
        <v>222</v>
      </c>
      <c r="D17" s="107"/>
      <c r="E17" s="1"/>
      <c r="F17" s="1" t="s">
        <v>96</v>
      </c>
      <c r="G17" s="1" t="s">
        <v>149</v>
      </c>
      <c r="H17" s="3"/>
      <c r="I17" s="3">
        <v>1</v>
      </c>
      <c r="J17" s="3"/>
      <c r="K17" s="3"/>
      <c r="L17" s="3"/>
      <c r="M17" s="3"/>
      <c r="N17" s="41">
        <f t="shared" si="1"/>
        <v>0.25</v>
      </c>
      <c r="O17" s="1"/>
      <c r="P17" s="10"/>
    </row>
    <row r="18" spans="1:21" ht="16" x14ac:dyDescent="0.4">
      <c r="A18" s="17">
        <v>16</v>
      </c>
      <c r="B18" s="107" t="s">
        <v>85</v>
      </c>
      <c r="C18" s="107" t="s">
        <v>1086</v>
      </c>
      <c r="D18" s="107"/>
      <c r="E18" s="1"/>
      <c r="F18" s="1" t="s">
        <v>96</v>
      </c>
      <c r="G18" s="1" t="s">
        <v>149</v>
      </c>
      <c r="H18" s="3"/>
      <c r="I18" s="3">
        <v>1</v>
      </c>
      <c r="J18" s="3"/>
      <c r="K18" s="3"/>
      <c r="L18" s="3"/>
      <c r="M18" s="3">
        <f>SUM(H18:L18)</f>
        <v>1</v>
      </c>
      <c r="N18" s="41">
        <f t="shared" si="1"/>
        <v>0.25</v>
      </c>
      <c r="O18" s="1"/>
      <c r="P18" s="10" t="str">
        <f>REPT("||||||",M18)</f>
        <v>||||||</v>
      </c>
    </row>
    <row r="19" spans="1:21" ht="29" x14ac:dyDescent="0.4">
      <c r="A19" s="17">
        <v>17</v>
      </c>
      <c r="B19" s="107" t="s">
        <v>973</v>
      </c>
      <c r="C19" s="107" t="s">
        <v>1083</v>
      </c>
      <c r="D19" s="107"/>
      <c r="E19" s="1"/>
      <c r="F19" s="1" t="s">
        <v>96</v>
      </c>
      <c r="G19" s="1" t="s">
        <v>179</v>
      </c>
      <c r="H19" s="3"/>
      <c r="I19" s="3">
        <v>1</v>
      </c>
      <c r="J19" s="3"/>
      <c r="K19" s="3"/>
      <c r="L19" s="3"/>
      <c r="M19" s="3">
        <f>SUM(H19:L19)</f>
        <v>1</v>
      </c>
      <c r="N19" s="41">
        <f t="shared" si="1"/>
        <v>0.25</v>
      </c>
      <c r="O19" s="1"/>
      <c r="P19" s="10" t="str">
        <f>REPT("||||||",M19)</f>
        <v>||||||</v>
      </c>
    </row>
    <row r="20" spans="1:21" s="23" customFormat="1" ht="16" x14ac:dyDescent="0.4">
      <c r="A20" s="17">
        <v>18</v>
      </c>
      <c r="B20" s="107" t="s">
        <v>215</v>
      </c>
      <c r="C20" s="107" t="s">
        <v>1084</v>
      </c>
      <c r="D20" s="107"/>
      <c r="E20" s="22"/>
      <c r="F20" s="1" t="s">
        <v>97</v>
      </c>
      <c r="G20" s="1" t="s">
        <v>149</v>
      </c>
      <c r="H20" s="3"/>
      <c r="I20" s="3">
        <v>1</v>
      </c>
      <c r="J20" s="21"/>
      <c r="K20" s="21"/>
      <c r="L20" s="21"/>
      <c r="M20" s="21"/>
      <c r="N20" s="44"/>
      <c r="O20" s="22"/>
      <c r="P20" s="24"/>
    </row>
    <row r="21" spans="1:21" ht="16" x14ac:dyDescent="0.4">
      <c r="A21" s="17">
        <v>19</v>
      </c>
      <c r="B21" s="107" t="s">
        <v>1075</v>
      </c>
      <c r="C21" s="107" t="s">
        <v>755</v>
      </c>
      <c r="D21" s="107"/>
      <c r="E21" s="1"/>
      <c r="F21" s="1" t="s">
        <v>97</v>
      </c>
      <c r="G21" s="1" t="s">
        <v>149</v>
      </c>
      <c r="H21" s="3"/>
      <c r="I21" s="3">
        <v>1</v>
      </c>
      <c r="J21" s="3"/>
      <c r="K21" s="3"/>
      <c r="L21" s="3"/>
      <c r="M21" s="3">
        <f>SUM(H21:L21)</f>
        <v>1</v>
      </c>
      <c r="N21" s="41">
        <f t="shared" si="1"/>
        <v>0.25</v>
      </c>
      <c r="O21" s="1"/>
      <c r="P21" s="10" t="str">
        <f>REPT("||||||",M21)</f>
        <v>||||||</v>
      </c>
    </row>
    <row r="22" spans="1:21" ht="16" x14ac:dyDescent="0.4">
      <c r="A22" s="17">
        <v>20</v>
      </c>
      <c r="B22" s="107" t="s">
        <v>237</v>
      </c>
      <c r="C22" s="107" t="s">
        <v>222</v>
      </c>
      <c r="D22" s="107"/>
      <c r="E22" s="1"/>
      <c r="F22" s="1" t="s">
        <v>96</v>
      </c>
      <c r="G22" s="1" t="s">
        <v>149</v>
      </c>
      <c r="H22" s="3">
        <v>1</v>
      </c>
      <c r="I22" s="3">
        <v>1</v>
      </c>
      <c r="J22" s="3"/>
      <c r="K22" s="3"/>
      <c r="L22" s="3"/>
      <c r="M22" s="3">
        <f>SUM(H22:L22)</f>
        <v>2</v>
      </c>
      <c r="N22" s="41">
        <f t="shared" si="1"/>
        <v>0.5</v>
      </c>
      <c r="O22" s="1"/>
      <c r="P22" s="10" t="str">
        <f>REPT("||||||",M22)</f>
        <v>||||||||||||</v>
      </c>
    </row>
    <row r="23" spans="1:21" ht="16" x14ac:dyDescent="0.4">
      <c r="A23" s="17">
        <v>21</v>
      </c>
      <c r="B23" s="107" t="s">
        <v>1076</v>
      </c>
      <c r="C23" s="107" t="s">
        <v>222</v>
      </c>
      <c r="D23" s="107"/>
      <c r="E23" s="1"/>
      <c r="F23" s="1" t="s">
        <v>96</v>
      </c>
      <c r="G23" s="1" t="s">
        <v>149</v>
      </c>
      <c r="H23" s="3">
        <v>1</v>
      </c>
      <c r="I23" s="3">
        <v>1</v>
      </c>
      <c r="J23" s="3"/>
      <c r="K23" s="3"/>
      <c r="L23" s="3"/>
      <c r="M23" s="3"/>
      <c r="N23" s="41"/>
      <c r="O23" s="1"/>
      <c r="P23" s="10"/>
    </row>
    <row r="24" spans="1:21" ht="16" x14ac:dyDescent="0.4">
      <c r="A24" s="17">
        <v>22</v>
      </c>
      <c r="B24" s="107" t="s">
        <v>1077</v>
      </c>
      <c r="C24" s="107" t="s">
        <v>222</v>
      </c>
      <c r="D24" s="107"/>
      <c r="E24" s="1"/>
      <c r="F24" s="1" t="s">
        <v>96</v>
      </c>
      <c r="G24" s="1" t="s">
        <v>149</v>
      </c>
      <c r="H24" s="3"/>
      <c r="I24" s="3">
        <v>1</v>
      </c>
      <c r="J24" s="3"/>
      <c r="K24" s="3"/>
      <c r="L24" s="3"/>
      <c r="M24" s="3">
        <f>SUM(H24:L24)</f>
        <v>1</v>
      </c>
      <c r="N24" s="41">
        <f t="shared" ref="N24:N41" si="2">SUM(H24:L24)/4</f>
        <v>0.25</v>
      </c>
      <c r="O24" s="1"/>
      <c r="P24" s="10" t="str">
        <f>REPT("||||||",M24)</f>
        <v>||||||</v>
      </c>
    </row>
    <row r="25" spans="1:21" ht="16" x14ac:dyDescent="0.4">
      <c r="A25" s="17">
        <v>23</v>
      </c>
      <c r="B25" s="107" t="s">
        <v>1078</v>
      </c>
      <c r="C25" s="107" t="s">
        <v>1081</v>
      </c>
      <c r="D25" s="107"/>
      <c r="E25" s="1"/>
      <c r="F25" s="1" t="s">
        <v>96</v>
      </c>
      <c r="G25" s="1" t="s">
        <v>149</v>
      </c>
      <c r="H25" s="3"/>
      <c r="I25" s="3">
        <v>1</v>
      </c>
      <c r="J25" s="3"/>
      <c r="K25" s="3"/>
      <c r="L25" s="3"/>
      <c r="M25" s="3"/>
      <c r="N25" s="41">
        <f t="shared" si="2"/>
        <v>0.25</v>
      </c>
      <c r="O25" s="1"/>
      <c r="P25" s="10"/>
    </row>
    <row r="26" spans="1:21" ht="26" x14ac:dyDescent="0.4">
      <c r="A26" s="17">
        <v>24</v>
      </c>
      <c r="B26" s="107" t="s">
        <v>142</v>
      </c>
      <c r="C26" s="107" t="s">
        <v>1086</v>
      </c>
      <c r="D26" s="107"/>
      <c r="E26" s="1"/>
      <c r="F26" s="1" t="s">
        <v>96</v>
      </c>
      <c r="G26" s="1" t="s">
        <v>149</v>
      </c>
      <c r="H26" s="3">
        <v>1</v>
      </c>
      <c r="I26" s="3">
        <v>1</v>
      </c>
      <c r="J26" s="3"/>
      <c r="K26" s="3"/>
      <c r="L26" s="3"/>
      <c r="M26" s="3">
        <f t="shared" ref="M26:M41" si="3">SUM(H26:L26)</f>
        <v>2</v>
      </c>
      <c r="N26" s="41">
        <f t="shared" si="2"/>
        <v>0.5</v>
      </c>
      <c r="O26" s="1"/>
      <c r="P26" s="10" t="str">
        <f>REPT("||||||",M26)</f>
        <v>||||||||||||</v>
      </c>
      <c r="U26" s="5" t="s">
        <v>34</v>
      </c>
    </row>
    <row r="27" spans="1:21" ht="26" x14ac:dyDescent="0.4">
      <c r="A27" s="17">
        <v>25</v>
      </c>
      <c r="B27" s="107" t="s">
        <v>1079</v>
      </c>
      <c r="C27" s="107" t="s">
        <v>222</v>
      </c>
      <c r="D27" s="107"/>
      <c r="E27" s="1"/>
      <c r="F27" s="1" t="s">
        <v>96</v>
      </c>
      <c r="G27" s="1" t="s">
        <v>149</v>
      </c>
      <c r="H27" s="3"/>
      <c r="I27" s="3">
        <v>1</v>
      </c>
      <c r="J27" s="3"/>
      <c r="K27" s="3"/>
      <c r="L27" s="3"/>
      <c r="M27" s="3">
        <f t="shared" si="3"/>
        <v>1</v>
      </c>
      <c r="N27" s="41">
        <f t="shared" si="2"/>
        <v>0.25</v>
      </c>
      <c r="O27" s="12"/>
      <c r="P27" s="10" t="str">
        <f>REPT("||||||",M27)</f>
        <v>||||||</v>
      </c>
      <c r="U27" s="5" t="s">
        <v>36</v>
      </c>
    </row>
    <row r="28" spans="1:21" ht="16" x14ac:dyDescent="0.4">
      <c r="A28" s="17">
        <v>26</v>
      </c>
      <c r="B28" s="107" t="s">
        <v>234</v>
      </c>
      <c r="C28" s="107" t="s">
        <v>222</v>
      </c>
      <c r="D28" s="107"/>
      <c r="E28" s="1"/>
      <c r="F28" s="1" t="s">
        <v>97</v>
      </c>
      <c r="G28" s="1" t="s">
        <v>149</v>
      </c>
      <c r="H28" s="3">
        <v>1</v>
      </c>
      <c r="I28" s="3">
        <v>1</v>
      </c>
      <c r="J28" s="3"/>
      <c r="K28" s="3"/>
      <c r="L28" s="3"/>
      <c r="M28" s="3">
        <f t="shared" si="3"/>
        <v>2</v>
      </c>
      <c r="N28" s="41">
        <f t="shared" si="2"/>
        <v>0.5</v>
      </c>
      <c r="O28" s="12"/>
      <c r="P28" s="10" t="str">
        <f>REPT("|",M28)</f>
        <v>||</v>
      </c>
    </row>
    <row r="29" spans="1:21" ht="16" x14ac:dyDescent="0.4">
      <c r="A29" s="17">
        <v>27</v>
      </c>
      <c r="B29" s="107" t="s">
        <v>258</v>
      </c>
      <c r="C29" s="107" t="s">
        <v>222</v>
      </c>
      <c r="D29" s="107"/>
      <c r="E29" s="1"/>
      <c r="F29" s="1" t="s">
        <v>97</v>
      </c>
      <c r="G29" s="1" t="s">
        <v>149</v>
      </c>
      <c r="H29" s="3">
        <v>1</v>
      </c>
      <c r="I29" s="3">
        <v>1</v>
      </c>
      <c r="J29" s="3"/>
      <c r="K29" s="3"/>
      <c r="L29" s="3"/>
      <c r="M29" s="3">
        <f t="shared" si="3"/>
        <v>2</v>
      </c>
      <c r="N29" s="41">
        <f t="shared" si="2"/>
        <v>0.5</v>
      </c>
      <c r="O29" s="12"/>
      <c r="P29" s="10" t="str">
        <f>REPT("||||||",M29)</f>
        <v>||||||||||||</v>
      </c>
    </row>
    <row r="30" spans="1:21" ht="16" x14ac:dyDescent="0.4">
      <c r="A30" s="17">
        <v>28</v>
      </c>
      <c r="B30" s="107" t="s">
        <v>1080</v>
      </c>
      <c r="C30" s="107" t="s">
        <v>222</v>
      </c>
      <c r="D30" s="107"/>
      <c r="E30" s="1"/>
      <c r="F30" s="1" t="s">
        <v>96</v>
      </c>
      <c r="G30" s="1" t="s">
        <v>149</v>
      </c>
      <c r="H30" s="3">
        <v>1</v>
      </c>
      <c r="I30" s="3">
        <v>1</v>
      </c>
      <c r="J30" s="3"/>
      <c r="K30" s="3"/>
      <c r="L30" s="3"/>
      <c r="M30" s="3">
        <f t="shared" si="3"/>
        <v>2</v>
      </c>
      <c r="N30" s="41">
        <f t="shared" si="2"/>
        <v>0.5</v>
      </c>
      <c r="O30" s="12"/>
      <c r="P30" s="10" t="str">
        <f>REPT("|",M30)</f>
        <v>||</v>
      </c>
    </row>
    <row r="31" spans="1:21" ht="26" x14ac:dyDescent="0.4">
      <c r="A31" s="17">
        <v>29</v>
      </c>
      <c r="B31" s="1" t="s">
        <v>1124</v>
      </c>
      <c r="C31" s="1" t="s">
        <v>1126</v>
      </c>
      <c r="D31" s="1"/>
      <c r="E31" s="1"/>
      <c r="F31" s="1" t="s">
        <v>96</v>
      </c>
      <c r="G31" s="1" t="s">
        <v>149</v>
      </c>
      <c r="H31" s="3">
        <v>1</v>
      </c>
      <c r="I31" s="3"/>
      <c r="J31" s="3"/>
      <c r="K31" s="3"/>
      <c r="L31" s="3"/>
      <c r="M31" s="3">
        <f t="shared" si="3"/>
        <v>1</v>
      </c>
      <c r="N31" s="41">
        <f t="shared" si="2"/>
        <v>0.25</v>
      </c>
      <c r="O31" s="12"/>
      <c r="P31" s="10" t="str">
        <f>REPT("||||||",M31)</f>
        <v>||||||</v>
      </c>
      <c r="U31" s="5" t="s">
        <v>33</v>
      </c>
    </row>
    <row r="32" spans="1:21" ht="16" x14ac:dyDescent="0.4">
      <c r="A32" s="17">
        <v>30</v>
      </c>
      <c r="B32" s="1" t="s">
        <v>240</v>
      </c>
      <c r="C32" s="1" t="s">
        <v>1127</v>
      </c>
      <c r="D32" s="1"/>
      <c r="E32" s="1"/>
      <c r="F32" s="1" t="s">
        <v>96</v>
      </c>
      <c r="G32" s="1" t="s">
        <v>149</v>
      </c>
      <c r="H32" s="3">
        <v>1</v>
      </c>
      <c r="I32" s="3"/>
      <c r="J32" s="3"/>
      <c r="K32" s="3"/>
      <c r="L32" s="3"/>
      <c r="M32" s="3">
        <f t="shared" si="3"/>
        <v>1</v>
      </c>
      <c r="N32" s="41">
        <f t="shared" si="2"/>
        <v>0.25</v>
      </c>
      <c r="O32" s="12"/>
      <c r="P32" s="10" t="str">
        <f>REPT("||||||",M32)</f>
        <v>||||||</v>
      </c>
    </row>
    <row r="33" spans="1:16" ht="16" x14ac:dyDescent="0.4">
      <c r="A33" s="17">
        <v>31</v>
      </c>
      <c r="B33" s="1" t="s">
        <v>228</v>
      </c>
      <c r="C33" s="1" t="s">
        <v>1128</v>
      </c>
      <c r="D33" s="1"/>
      <c r="E33" s="1"/>
      <c r="F33" s="1" t="s">
        <v>96</v>
      </c>
      <c r="G33" s="1" t="s">
        <v>149</v>
      </c>
      <c r="H33" s="3">
        <v>1</v>
      </c>
      <c r="I33" s="3"/>
      <c r="J33" s="3"/>
      <c r="K33" s="3"/>
      <c r="L33" s="3"/>
      <c r="M33" s="3">
        <f t="shared" si="3"/>
        <v>1</v>
      </c>
      <c r="N33" s="41">
        <f t="shared" si="2"/>
        <v>0.25</v>
      </c>
      <c r="O33" s="12"/>
      <c r="P33" s="10" t="str">
        <f>REPT("|",M33)</f>
        <v>|</v>
      </c>
    </row>
    <row r="34" spans="1:16" ht="16" x14ac:dyDescent="0.4">
      <c r="A34" s="17">
        <v>32</v>
      </c>
      <c r="B34" s="1" t="s">
        <v>1125</v>
      </c>
      <c r="C34" s="1" t="s">
        <v>1128</v>
      </c>
      <c r="D34" s="1"/>
      <c r="E34" s="1"/>
      <c r="F34" s="1" t="s">
        <v>96</v>
      </c>
      <c r="G34" s="1" t="s">
        <v>149</v>
      </c>
      <c r="H34" s="3">
        <v>1</v>
      </c>
      <c r="I34" s="3"/>
      <c r="J34" s="3"/>
      <c r="K34" s="3"/>
      <c r="L34" s="3"/>
      <c r="M34" s="3">
        <f t="shared" si="3"/>
        <v>1</v>
      </c>
      <c r="N34" s="41">
        <f t="shared" si="2"/>
        <v>0.25</v>
      </c>
      <c r="O34" s="12"/>
      <c r="P34" s="10" t="str">
        <f>REPT("||||||",M34)</f>
        <v>||||||</v>
      </c>
    </row>
    <row r="35" spans="1:16" ht="16" x14ac:dyDescent="0.4">
      <c r="A35" s="17">
        <v>33</v>
      </c>
      <c r="B35" s="1"/>
      <c r="C35" s="1"/>
      <c r="D35" s="1"/>
      <c r="E35" s="1"/>
      <c r="F35" s="1"/>
      <c r="G35" s="1"/>
      <c r="H35" s="3"/>
      <c r="I35" s="3"/>
      <c r="J35" s="3"/>
      <c r="K35" s="3"/>
      <c r="L35" s="3"/>
      <c r="M35" s="3">
        <f t="shared" si="3"/>
        <v>0</v>
      </c>
      <c r="N35" s="41">
        <f t="shared" si="2"/>
        <v>0</v>
      </c>
      <c r="O35" s="12"/>
      <c r="P35" s="10"/>
    </row>
    <row r="36" spans="1:16" ht="16" x14ac:dyDescent="0.4">
      <c r="A36" s="17">
        <v>34</v>
      </c>
      <c r="B36" s="1"/>
      <c r="C36" s="1"/>
      <c r="D36" s="1"/>
      <c r="E36" s="1"/>
      <c r="F36" s="1"/>
      <c r="G36" s="1"/>
      <c r="H36" s="3"/>
      <c r="I36" s="3"/>
      <c r="J36" s="3"/>
      <c r="K36" s="3"/>
      <c r="L36" s="3"/>
      <c r="M36" s="3">
        <f t="shared" si="3"/>
        <v>0</v>
      </c>
      <c r="N36" s="41">
        <f t="shared" si="2"/>
        <v>0</v>
      </c>
      <c r="O36" s="12"/>
      <c r="P36" s="10"/>
    </row>
    <row r="37" spans="1:16" ht="16" x14ac:dyDescent="0.4">
      <c r="A37" s="17">
        <v>35</v>
      </c>
      <c r="B37" s="1"/>
      <c r="C37" s="1"/>
      <c r="D37" s="1"/>
      <c r="E37" s="1"/>
      <c r="F37" s="1"/>
      <c r="G37" s="1"/>
      <c r="H37" s="3"/>
      <c r="I37" s="3"/>
      <c r="J37" s="3"/>
      <c r="K37" s="3"/>
      <c r="L37" s="3"/>
      <c r="M37" s="3">
        <f t="shared" si="3"/>
        <v>0</v>
      </c>
      <c r="N37" s="41">
        <f t="shared" si="2"/>
        <v>0</v>
      </c>
      <c r="O37" s="12"/>
      <c r="P37" s="10"/>
    </row>
    <row r="38" spans="1:16" ht="16" x14ac:dyDescent="0.4">
      <c r="A38" s="17">
        <v>36</v>
      </c>
      <c r="B38" s="1"/>
      <c r="C38" s="1"/>
      <c r="D38" s="1"/>
      <c r="E38" s="1"/>
      <c r="F38" s="1"/>
      <c r="G38" s="1"/>
      <c r="H38" s="3"/>
      <c r="I38" s="3"/>
      <c r="J38" s="3"/>
      <c r="K38" s="3"/>
      <c r="L38" s="3"/>
      <c r="M38" s="3">
        <f t="shared" si="3"/>
        <v>0</v>
      </c>
      <c r="N38" s="41">
        <f t="shared" si="2"/>
        <v>0</v>
      </c>
      <c r="P38" s="10"/>
    </row>
    <row r="39" spans="1:16" ht="16" x14ac:dyDescent="0.4">
      <c r="A39" s="17">
        <v>37</v>
      </c>
      <c r="B39" s="1"/>
      <c r="C39" s="1"/>
      <c r="D39" s="1"/>
      <c r="E39" s="1"/>
      <c r="F39" s="1"/>
      <c r="G39" s="1"/>
      <c r="H39" s="3"/>
      <c r="I39" s="3"/>
      <c r="J39" s="3"/>
      <c r="K39" s="3"/>
      <c r="L39" s="3"/>
      <c r="M39" s="3">
        <f t="shared" si="3"/>
        <v>0</v>
      </c>
      <c r="N39" s="41">
        <f t="shared" si="2"/>
        <v>0</v>
      </c>
      <c r="P39" s="10"/>
    </row>
    <row r="40" spans="1:16" ht="16" x14ac:dyDescent="0.4">
      <c r="A40" s="17">
        <v>38</v>
      </c>
      <c r="B40" s="1"/>
      <c r="C40" s="1"/>
      <c r="D40" s="1"/>
      <c r="E40" s="1"/>
      <c r="F40" s="1"/>
      <c r="G40" s="1"/>
      <c r="H40" s="3"/>
      <c r="I40" s="3"/>
      <c r="J40" s="3"/>
      <c r="K40" s="3"/>
      <c r="L40" s="3"/>
      <c r="M40" s="3">
        <f t="shared" si="3"/>
        <v>0</v>
      </c>
      <c r="N40" s="41">
        <f t="shared" si="2"/>
        <v>0</v>
      </c>
      <c r="P40" s="10"/>
    </row>
    <row r="41" spans="1:16" ht="16" x14ac:dyDescent="0.4">
      <c r="A41" s="17">
        <v>39</v>
      </c>
      <c r="B41" s="1"/>
      <c r="C41" s="1"/>
      <c r="D41" s="1"/>
      <c r="E41" s="1"/>
      <c r="F41" s="1"/>
      <c r="G41" s="1"/>
      <c r="H41" s="3"/>
      <c r="I41" s="3"/>
      <c r="J41" s="3"/>
      <c r="K41" s="3"/>
      <c r="L41" s="3"/>
      <c r="M41" s="3">
        <f t="shared" si="3"/>
        <v>0</v>
      </c>
      <c r="N41" s="41">
        <f t="shared" si="2"/>
        <v>0</v>
      </c>
      <c r="P41" s="10"/>
    </row>
    <row r="42" spans="1:16" ht="16" x14ac:dyDescent="0.4">
      <c r="A42" s="17">
        <v>40</v>
      </c>
      <c r="B42" s="1"/>
      <c r="C42" s="1"/>
      <c r="D42" s="1"/>
      <c r="E42" s="1"/>
      <c r="F42" s="1"/>
      <c r="G42" s="1"/>
      <c r="H42" s="3"/>
      <c r="I42" s="3"/>
      <c r="J42" s="3"/>
      <c r="K42" s="3"/>
      <c r="L42" s="3"/>
      <c r="M42" s="3"/>
      <c r="N42" s="41"/>
      <c r="P42" s="10"/>
    </row>
    <row r="43" spans="1:16" ht="16" x14ac:dyDescent="0.4">
      <c r="A43" s="17">
        <v>41</v>
      </c>
      <c r="B43" s="1"/>
      <c r="C43" s="1"/>
      <c r="D43" s="1"/>
      <c r="E43" s="1"/>
      <c r="F43" s="1"/>
      <c r="G43" s="1"/>
      <c r="H43" s="3"/>
      <c r="I43" s="3"/>
      <c r="J43" s="3"/>
      <c r="K43" s="3"/>
      <c r="L43" s="3"/>
      <c r="M43" s="3"/>
      <c r="N43" s="41"/>
      <c r="P43" s="10"/>
    </row>
    <row r="44" spans="1:16" ht="16" x14ac:dyDescent="0.4">
      <c r="A44" s="17">
        <v>42</v>
      </c>
      <c r="B44" s="1"/>
      <c r="C44" s="1"/>
      <c r="D44" s="1"/>
      <c r="E44" s="1"/>
      <c r="F44" s="1"/>
      <c r="G44" s="1"/>
      <c r="H44" s="3"/>
      <c r="I44" s="3"/>
      <c r="J44" s="3"/>
      <c r="K44" s="3"/>
      <c r="L44" s="3"/>
      <c r="M44" s="3"/>
      <c r="N44" s="41"/>
      <c r="P44" s="10"/>
    </row>
    <row r="45" spans="1:16" ht="16" x14ac:dyDescent="0.4">
      <c r="A45" s="17">
        <v>43</v>
      </c>
      <c r="B45" s="1"/>
      <c r="C45" s="1"/>
      <c r="D45" s="1"/>
      <c r="E45" s="1"/>
      <c r="F45" s="1"/>
      <c r="G45" s="1"/>
      <c r="H45" s="3"/>
      <c r="I45" s="3"/>
      <c r="J45" s="3"/>
      <c r="K45" s="3"/>
      <c r="L45" s="3"/>
      <c r="M45" s="3">
        <f t="shared" ref="M45" si="4">SUM(H45:L45)</f>
        <v>0</v>
      </c>
      <c r="N45" s="41">
        <f t="shared" ref="N45" si="5">SUM(H45:L45)/4</f>
        <v>0</v>
      </c>
      <c r="P45" s="10" t="str">
        <f>REPT("||||||",M45)</f>
        <v/>
      </c>
    </row>
    <row r="46" spans="1:16" ht="16" x14ac:dyDescent="0.4">
      <c r="N46" s="38"/>
      <c r="P46" s="10"/>
    </row>
    <row r="47" spans="1:16" ht="16" x14ac:dyDescent="0.4">
      <c r="G47" t="s">
        <v>37</v>
      </c>
      <c r="H47" s="4">
        <f>SUM(H3:H45)</f>
        <v>19</v>
      </c>
      <c r="I47" s="4">
        <f t="shared" ref="I47:L47" si="6">SUM(I3:I45)</f>
        <v>28</v>
      </c>
      <c r="J47" s="4">
        <f t="shared" si="6"/>
        <v>0</v>
      </c>
      <c r="K47" s="4">
        <f t="shared" si="6"/>
        <v>0</v>
      </c>
      <c r="L47" s="4">
        <f t="shared" si="6"/>
        <v>0</v>
      </c>
      <c r="P47" s="10"/>
    </row>
    <row r="48" spans="1:16" ht="16" x14ac:dyDescent="0.4">
      <c r="G48" t="s">
        <v>14</v>
      </c>
      <c r="P48" s="10" t="str">
        <f t="shared" ref="P48:P51" si="7">REPT("|",M48)</f>
        <v/>
      </c>
    </row>
    <row r="49" spans="2:16" ht="44" x14ac:dyDescent="0.4">
      <c r="B49" s="1" t="s">
        <v>179</v>
      </c>
      <c r="C49" s="1" t="s">
        <v>181</v>
      </c>
      <c r="D49" s="1"/>
      <c r="E49" s="1">
        <f>COUNTIFS($F$3:$F$34,C49,$G$3:$G$34,B49)</f>
        <v>1</v>
      </c>
      <c r="F49" s="1"/>
      <c r="G49" s="1"/>
      <c r="M49" s="42" t="s">
        <v>31</v>
      </c>
      <c r="N49" s="19">
        <f>COUNTIF(N3:N45,"&gt;=80%")</f>
        <v>0</v>
      </c>
      <c r="P49" s="10" t="e">
        <f t="shared" si="7"/>
        <v>#VALUE!</v>
      </c>
    </row>
    <row r="50" spans="2:16" ht="44" x14ac:dyDescent="0.4">
      <c r="B50" s="1" t="s">
        <v>179</v>
      </c>
      <c r="C50" s="1" t="s">
        <v>182</v>
      </c>
      <c r="D50" s="1"/>
      <c r="E50" s="1">
        <f>COUNTIFS($F$3:$F$34,C50,$G$3:$G$34,B50)</f>
        <v>0</v>
      </c>
      <c r="F50" s="1"/>
      <c r="G50" s="1"/>
      <c r="M50" s="42" t="s">
        <v>51</v>
      </c>
      <c r="N50" s="19">
        <f>COUNTIF(N3:N45,"&gt;=50%")</f>
        <v>14</v>
      </c>
      <c r="P50" s="10" t="e">
        <f t="shared" si="7"/>
        <v>#VALUE!</v>
      </c>
    </row>
    <row r="51" spans="2:16" ht="58.5" x14ac:dyDescent="0.4">
      <c r="B51" s="1" t="s">
        <v>149</v>
      </c>
      <c r="C51" s="1" t="s">
        <v>181</v>
      </c>
      <c r="D51" s="1"/>
      <c r="E51" s="1">
        <f>COUNTIFS($F$3:$F$34,C51,$G$3:$G$34,B51)</f>
        <v>22</v>
      </c>
      <c r="F51" s="1"/>
      <c r="G51" s="1"/>
      <c r="M51" s="42" t="s">
        <v>52</v>
      </c>
      <c r="N51" s="19">
        <f>COUNTIF(M3:M45,"&gt;=4")</f>
        <v>0</v>
      </c>
      <c r="P51" s="10" t="e">
        <f t="shared" si="7"/>
        <v>#VALUE!</v>
      </c>
    </row>
    <row r="52" spans="2:16" ht="58" x14ac:dyDescent="0.35">
      <c r="B52" s="1" t="s">
        <v>149</v>
      </c>
      <c r="C52" s="1" t="s">
        <v>182</v>
      </c>
      <c r="D52" s="1"/>
      <c r="E52" s="1">
        <f>COUNTIFS($F$3:$F$34,C52,$G$3:$G$34,B52)</f>
        <v>9</v>
      </c>
      <c r="F52" s="1"/>
      <c r="G52" s="1"/>
      <c r="M52" s="42" t="s">
        <v>53</v>
      </c>
      <c r="N52" s="19">
        <f>COUNTIF(M3:M45,"&gt;=3")</f>
        <v>0</v>
      </c>
    </row>
  </sheetData>
  <autoFilter ref="A2:U45" xr:uid="{DE9B5568-2FC1-4093-80BB-C5E63953A76D}">
    <sortState xmlns:xlrd2="http://schemas.microsoft.com/office/spreadsheetml/2017/richdata2" ref="A4:U45">
      <sortCondition ref="B2:B45"/>
    </sortState>
  </autoFilter>
  <mergeCells count="8">
    <mergeCell ref="O1:O2"/>
    <mergeCell ref="P1:P2"/>
    <mergeCell ref="A1:A2"/>
    <mergeCell ref="B1:B2"/>
    <mergeCell ref="E1:E2"/>
    <mergeCell ref="F1:F2"/>
    <mergeCell ref="G1:G2"/>
    <mergeCell ref="H1:L1"/>
  </mergeCells>
  <conditionalFormatting sqref="A1:N46">
    <cfRule type="expression" dxfId="73" priority="10">
      <formula>MOD(ROW(),2)=0</formula>
    </cfRule>
  </conditionalFormatting>
  <conditionalFormatting sqref="B49:B50">
    <cfRule type="expression" dxfId="72" priority="6">
      <formula>MOD(ROW(),2)=0</formula>
    </cfRule>
    <cfRule type="expression" dxfId="71" priority="7">
      <formula>MOD(ROW(),2)=0</formula>
    </cfRule>
  </conditionalFormatting>
  <conditionalFormatting sqref="B49:B52">
    <cfRule type="expression" dxfId="70" priority="3">
      <formula>MOD(ROW(),2)=0</formula>
    </cfRule>
  </conditionalFormatting>
  <conditionalFormatting sqref="B51">
    <cfRule type="expression" dxfId="69" priority="1">
      <formula>MOD(ROW(),2)=0</formula>
    </cfRule>
    <cfRule type="expression" dxfId="68" priority="2">
      <formula>MOD(ROW(),2)=0</formula>
    </cfRule>
  </conditionalFormatting>
  <conditionalFormatting sqref="B52">
    <cfRule type="expression" dxfId="67" priority="4">
      <formula>MOD(ROW(),2)=0</formula>
    </cfRule>
    <cfRule type="expression" dxfId="66" priority="5">
      <formula>MOD(ROW(),2)=0</formula>
    </cfRule>
  </conditionalFormatting>
  <conditionalFormatting sqref="G3:G18 G20:G45">
    <cfRule type="expression" dxfId="65" priority="11">
      <formula>MOD(ROW(),2)=0</formula>
    </cfRule>
    <cfRule type="expression" dxfId="64" priority="12">
      <formula>MOD(ROW(),2)=0</formula>
    </cfRule>
  </conditionalFormatting>
  <conditionalFormatting sqref="G19">
    <cfRule type="expression" dxfId="63" priority="8">
      <formula>MOD(ROW(),2)=0</formula>
    </cfRule>
    <cfRule type="expression" dxfId="62" priority="9">
      <formula>MOD(ROW(),2)=0</formula>
    </cfRule>
  </conditionalFormatting>
  <conditionalFormatting sqref="G48">
    <cfRule type="expression" dxfId="61" priority="14">
      <formula>MOD(ROW(),2)=0</formula>
    </cfRule>
  </conditionalFormatting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1552DFA-D4AA-44AB-9925-25BA28BD31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Kliwonan!H47:L47</xm:f>
              <xm:sqref>O47</xm:sqref>
            </x14:sparkline>
          </x14:sparklines>
        </x14:sparklineGroup>
        <x14:sparklineGroup displayEmptyCellsAs="gap" xr2:uid="{2105089D-203F-4F48-94B0-ADECBD8110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Kliwonan!H3:L3</xm:f>
              <xm:sqref>O3</xm:sqref>
            </x14:sparkline>
            <x14:sparkline>
              <xm:f>Kliwonan!H4:L4</xm:f>
              <xm:sqref>O4</xm:sqref>
            </x14:sparkline>
            <x14:sparkline>
              <xm:f>Kliwonan!H5:L5</xm:f>
              <xm:sqref>O5</xm:sqref>
            </x14:sparkline>
            <x14:sparkline>
              <xm:f>Kliwonan!H6:L6</xm:f>
              <xm:sqref>O6</xm:sqref>
            </x14:sparkline>
            <x14:sparkline>
              <xm:f>Kliwonan!H7:L7</xm:f>
              <xm:sqref>O7</xm:sqref>
            </x14:sparkline>
            <x14:sparkline>
              <xm:f>Kliwonan!H8:L8</xm:f>
              <xm:sqref>O8</xm:sqref>
            </x14:sparkline>
            <x14:sparkline>
              <xm:f>Kliwonan!H9:L9</xm:f>
              <xm:sqref>O9</xm:sqref>
            </x14:sparkline>
            <x14:sparkline>
              <xm:f>Kliwonan!H10:L10</xm:f>
              <xm:sqref>O10</xm:sqref>
            </x14:sparkline>
            <x14:sparkline>
              <xm:f>Kliwonan!H11:L11</xm:f>
              <xm:sqref>O11</xm:sqref>
            </x14:sparkline>
            <x14:sparkline>
              <xm:f>Kliwonan!H12:L12</xm:f>
              <xm:sqref>O12</xm:sqref>
            </x14:sparkline>
            <x14:sparkline>
              <xm:f>Kliwonan!H13:L13</xm:f>
              <xm:sqref>O13</xm:sqref>
            </x14:sparkline>
            <x14:sparkline>
              <xm:f>Kliwonan!H14:L14</xm:f>
              <xm:sqref>O14</xm:sqref>
            </x14:sparkline>
            <x14:sparkline>
              <xm:f>Kliwonan!H15:L15</xm:f>
              <xm:sqref>O15</xm:sqref>
            </x14:sparkline>
            <x14:sparkline>
              <xm:f>Kliwonan!H16:L16</xm:f>
              <xm:sqref>O16</xm:sqref>
            </x14:sparkline>
            <x14:sparkline>
              <xm:f>Kliwonan!H17:L17</xm:f>
              <xm:sqref>O17</xm:sqref>
            </x14:sparkline>
            <x14:sparkline>
              <xm:f>Kliwonan!H18:L18</xm:f>
              <xm:sqref>O18</xm:sqref>
            </x14:sparkline>
            <x14:sparkline>
              <xm:f>Kliwonan!H19:L19</xm:f>
              <xm:sqref>O19</xm:sqref>
            </x14:sparkline>
            <x14:sparkline>
              <xm:f>Kliwonan!H20:L20</xm:f>
              <xm:sqref>O20</xm:sqref>
            </x14:sparkline>
            <x14:sparkline>
              <xm:f>Kliwonan!H21:L21</xm:f>
              <xm:sqref>O21</xm:sqref>
            </x14:sparkline>
            <x14:sparkline>
              <xm:f>Kliwonan!H22:L22</xm:f>
              <xm:sqref>O22</xm:sqref>
            </x14:sparkline>
            <x14:sparkline>
              <xm:f>Kliwonan!H23:L23</xm:f>
              <xm:sqref>O23</xm:sqref>
            </x14:sparkline>
            <x14:sparkline>
              <xm:f>Kliwonan!H24:L24</xm:f>
              <xm:sqref>O24</xm:sqref>
            </x14:sparkline>
            <x14:sparkline>
              <xm:f>Kliwonan!H25:L25</xm:f>
              <xm:sqref>O25</xm:sqref>
            </x14:sparkline>
            <x14:sparkline>
              <xm:f>Kliwonan!H26:L26</xm:f>
              <xm:sqref>O26</xm:sqref>
            </x14:sparkline>
            <x14:sparkline>
              <xm:f>Kliwonan!H27:L27</xm:f>
              <xm:sqref>O27</xm:sqref>
            </x14:sparkline>
            <x14:sparkline>
              <xm:f>Kliwonan!H28:L28</xm:f>
              <xm:sqref>O28</xm:sqref>
            </x14:sparkline>
            <x14:sparkline>
              <xm:f>Kliwonan!H29:L29</xm:f>
              <xm:sqref>O29</xm:sqref>
            </x14:sparkline>
            <x14:sparkline>
              <xm:f>Kliwonan!H30:L30</xm:f>
              <xm:sqref>O30</xm:sqref>
            </x14:sparkline>
            <x14:sparkline>
              <xm:f>Kliwonan!H31:L31</xm:f>
              <xm:sqref>O31</xm:sqref>
            </x14:sparkline>
            <x14:sparkline>
              <xm:f>Kliwonan!H32:L32</xm:f>
              <xm:sqref>O32</xm:sqref>
            </x14:sparkline>
            <x14:sparkline>
              <xm:f>Kliwonan!H33:L33</xm:f>
              <xm:sqref>O33</xm:sqref>
            </x14:sparkline>
            <x14:sparkline>
              <xm:f>Kliwonan!H34:L34</xm:f>
              <xm:sqref>O34</xm:sqref>
            </x14:sparkline>
            <x14:sparkline>
              <xm:f>Kliwonan!H35:L35</xm:f>
              <xm:sqref>O35</xm:sqref>
            </x14:sparkline>
            <x14:sparkline>
              <xm:f>Kliwonan!H36:L36</xm:f>
              <xm:sqref>O36</xm:sqref>
            </x14:sparkline>
            <x14:sparkline>
              <xm:f>Kliwonan!H37:L37</xm:f>
              <xm:sqref>O37</xm:sqref>
            </x14:sparkline>
            <x14:sparkline>
              <xm:f>Kliwonan!H38:L38</xm:f>
              <xm:sqref>O38</xm:sqref>
            </x14:sparkline>
            <x14:sparkline>
              <xm:f>Kliwonan!H39:L39</xm:f>
              <xm:sqref>O39</xm:sqref>
            </x14:sparkline>
            <x14:sparkline>
              <xm:f>Kliwonan!H40:L40</xm:f>
              <xm:sqref>O40</xm:sqref>
            </x14:sparkline>
            <x14:sparkline>
              <xm:f>Kliwonan!H41:L41</xm:f>
              <xm:sqref>O41</xm:sqref>
            </x14:sparkline>
            <x14:sparkline>
              <xm:f>Kliwonan!H42:L42</xm:f>
              <xm:sqref>O42</xm:sqref>
            </x14:sparkline>
            <x14:sparkline>
              <xm:f>Kliwonan!H43:L43</xm:f>
              <xm:sqref>O43</xm:sqref>
            </x14:sparkline>
            <x14:sparkline>
              <xm:f>Kliwonan!H44:L44</xm:f>
              <xm:sqref>O44</xm:sqref>
            </x14:sparkline>
            <x14:sparkline>
              <xm:f>Kliwonan!H45:L45</xm:f>
              <xm:sqref>O45</xm:sqref>
            </x14:sparkline>
            <x14:sparkline>
              <xm:f>Kliwonan!H46:L46</xm:f>
              <xm:sqref>O46</xm:sqref>
            </x14:sparkline>
          </x14:sparklines>
        </x14:sparklineGroup>
      </x14:sparklineGroup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0E21-F236-4F51-A4AC-C25B4F5A1259}">
  <sheetPr>
    <tabColor rgb="FF92D050"/>
  </sheetPr>
  <dimension ref="A1:V73"/>
  <sheetViews>
    <sheetView topLeftCell="B1" zoomScale="70" zoomScaleNormal="70" zoomScaleSheetLayoutView="70" workbookViewId="0">
      <pane xSplit="2" topLeftCell="D1" activePane="topRight" state="frozen"/>
      <selection activeCell="B1" sqref="B1"/>
      <selection pane="topRight" activeCell="B69" sqref="B69:E73"/>
    </sheetView>
  </sheetViews>
  <sheetFormatPr defaultRowHeight="14.5" x14ac:dyDescent="0.35"/>
  <cols>
    <col min="1" max="1" width="8.7265625" style="32"/>
    <col min="2" max="2" width="17" style="31" customWidth="1"/>
    <col min="3" max="3" width="25.54296875" style="31" customWidth="1"/>
    <col min="4" max="4" width="16.36328125" style="31" bestFit="1" customWidth="1"/>
    <col min="5" max="5" width="15.453125" style="31" customWidth="1"/>
    <col min="6" max="6" width="9.26953125" style="31" customWidth="1"/>
    <col min="7" max="7" width="12.453125" style="31" customWidth="1"/>
    <col min="8" max="9" width="10.453125" style="32" customWidth="1"/>
    <col min="10" max="10" width="10" style="4" customWidth="1"/>
    <col min="11" max="12" width="11.08984375" style="4" customWidth="1"/>
    <col min="13" max="13" width="9.7265625" style="4" customWidth="1"/>
    <col min="14" max="14" width="8.7265625" style="4" customWidth="1"/>
    <col min="15" max="16" width="14.81640625" style="4" customWidth="1"/>
    <col min="17" max="17" width="20.1796875" customWidth="1"/>
    <col min="18" max="18" width="11.81640625" customWidth="1"/>
  </cols>
  <sheetData>
    <row r="1" spans="1:22" x14ac:dyDescent="0.35">
      <c r="A1" s="134" t="s">
        <v>49</v>
      </c>
      <c r="B1" s="134" t="s">
        <v>13</v>
      </c>
      <c r="C1" s="13"/>
      <c r="D1" s="13"/>
      <c r="E1" s="134" t="s">
        <v>16</v>
      </c>
      <c r="F1" s="134" t="s">
        <v>18</v>
      </c>
      <c r="G1" s="134" t="s">
        <v>19</v>
      </c>
      <c r="H1" s="135" t="s">
        <v>20</v>
      </c>
      <c r="I1" s="135"/>
      <c r="J1" s="135"/>
      <c r="K1" s="135"/>
      <c r="L1" s="135"/>
      <c r="M1" s="135"/>
      <c r="N1" s="135"/>
      <c r="O1" s="135"/>
      <c r="P1" s="6"/>
      <c r="Q1" s="133" t="s">
        <v>21</v>
      </c>
      <c r="R1" s="133" t="s">
        <v>22</v>
      </c>
    </row>
    <row r="2" spans="1:22" ht="29" x14ac:dyDescent="0.35">
      <c r="A2" s="134"/>
      <c r="B2" s="134"/>
      <c r="C2" s="13" t="s">
        <v>50</v>
      </c>
      <c r="D2" s="13" t="s">
        <v>489</v>
      </c>
      <c r="E2" s="134"/>
      <c r="F2" s="134"/>
      <c r="G2" s="134"/>
      <c r="H2" s="7">
        <v>46177</v>
      </c>
      <c r="I2" s="7">
        <v>46191</v>
      </c>
      <c r="J2" s="7">
        <v>46205</v>
      </c>
      <c r="K2" s="7">
        <v>46219</v>
      </c>
      <c r="L2" s="7" t="s">
        <v>1121</v>
      </c>
      <c r="M2" s="7" t="s">
        <v>1119</v>
      </c>
      <c r="N2" s="8"/>
      <c r="O2" s="9" t="s">
        <v>23</v>
      </c>
      <c r="P2" s="9" t="s">
        <v>24</v>
      </c>
      <c r="Q2" s="133"/>
      <c r="R2" s="133"/>
      <c r="S2" t="s">
        <v>621</v>
      </c>
      <c r="U2" t="s">
        <v>25</v>
      </c>
    </row>
    <row r="3" spans="1:22" ht="16" x14ac:dyDescent="0.4">
      <c r="A3" s="29">
        <v>1</v>
      </c>
      <c r="B3" s="64" t="s">
        <v>603</v>
      </c>
      <c r="C3" s="64" t="s">
        <v>103</v>
      </c>
      <c r="D3" s="64"/>
      <c r="E3" s="64" t="s">
        <v>430</v>
      </c>
      <c r="F3" s="110" t="s">
        <v>96</v>
      </c>
      <c r="G3" s="1" t="s">
        <v>149</v>
      </c>
      <c r="H3" s="29">
        <v>1</v>
      </c>
      <c r="I3">
        <v>1</v>
      </c>
      <c r="J3" s="3">
        <v>1</v>
      </c>
      <c r="K3">
        <v>1</v>
      </c>
      <c r="L3">
        <v>1</v>
      </c>
      <c r="M3">
        <v>1</v>
      </c>
      <c r="N3" s="3"/>
      <c r="O3" s="3">
        <f>SUM(H3:N3)</f>
        <v>6</v>
      </c>
      <c r="P3" s="41">
        <f>SUM(H3:N3)/6</f>
        <v>1</v>
      </c>
      <c r="Q3" s="1"/>
      <c r="R3" s="10" t="str">
        <f>REPT("||||||",O3)</f>
        <v>||||||||||||||||||||||||||||||||||||</v>
      </c>
      <c r="U3">
        <v>1</v>
      </c>
      <c r="V3" t="s">
        <v>26</v>
      </c>
    </row>
    <row r="4" spans="1:22" ht="16" x14ac:dyDescent="0.4">
      <c r="A4" s="29">
        <v>2</v>
      </c>
      <c r="B4" s="64" t="s">
        <v>604</v>
      </c>
      <c r="C4" s="64" t="s">
        <v>103</v>
      </c>
      <c r="D4" s="64"/>
      <c r="E4" s="64" t="s">
        <v>430</v>
      </c>
      <c r="F4" s="110" t="s">
        <v>96</v>
      </c>
      <c r="G4" s="1" t="s">
        <v>149</v>
      </c>
      <c r="H4" s="29">
        <v>1</v>
      </c>
      <c r="I4"/>
      <c r="J4" s="3"/>
      <c r="K4">
        <v>1</v>
      </c>
      <c r="L4"/>
      <c r="M4"/>
      <c r="N4" s="3"/>
      <c r="O4" s="3">
        <f t="shared" ref="O4:O36" si="0">SUM(H4:N4)</f>
        <v>2</v>
      </c>
      <c r="P4" s="41">
        <f t="shared" ref="P4:P36" si="1">SUM(H4:N4)/6</f>
        <v>0.33333333333333331</v>
      </c>
      <c r="Q4" s="1"/>
      <c r="R4" s="10"/>
    </row>
    <row r="5" spans="1:22" ht="16" x14ac:dyDescent="0.4">
      <c r="A5" s="29">
        <v>3</v>
      </c>
      <c r="B5" s="64" t="s">
        <v>290</v>
      </c>
      <c r="C5" s="64" t="s">
        <v>103</v>
      </c>
      <c r="D5" s="64"/>
      <c r="E5" s="64" t="s">
        <v>430</v>
      </c>
      <c r="F5" s="110" t="s">
        <v>96</v>
      </c>
      <c r="G5" s="1" t="s">
        <v>149</v>
      </c>
      <c r="H5" s="29">
        <v>1</v>
      </c>
      <c r="I5">
        <v>1</v>
      </c>
      <c r="J5" s="3">
        <v>1</v>
      </c>
      <c r="K5">
        <v>1</v>
      </c>
      <c r="L5">
        <v>1</v>
      </c>
      <c r="M5">
        <v>1</v>
      </c>
      <c r="N5" s="3"/>
      <c r="O5" s="3">
        <f t="shared" si="0"/>
        <v>6</v>
      </c>
      <c r="P5" s="41">
        <f t="shared" si="1"/>
        <v>1</v>
      </c>
      <c r="Q5" s="1"/>
      <c r="R5" s="10" t="str">
        <f t="shared" ref="R5:R10" si="2">REPT("||||||",O5)</f>
        <v>||||||||||||||||||||||||||||||||||||</v>
      </c>
      <c r="S5">
        <v>1</v>
      </c>
      <c r="U5">
        <v>0</v>
      </c>
      <c r="V5" t="s">
        <v>27</v>
      </c>
    </row>
    <row r="6" spans="1:22" s="23" customFormat="1" ht="16" x14ac:dyDescent="0.4">
      <c r="A6" s="45">
        <v>4</v>
      </c>
      <c r="B6" s="64" t="s">
        <v>605</v>
      </c>
      <c r="C6" s="64" t="s">
        <v>103</v>
      </c>
      <c r="D6" s="64"/>
      <c r="E6" s="64" t="s">
        <v>430</v>
      </c>
      <c r="F6" s="46" t="s">
        <v>96</v>
      </c>
      <c r="G6" s="1" t="s">
        <v>149</v>
      </c>
      <c r="H6" s="29">
        <v>1</v>
      </c>
      <c r="I6">
        <v>1</v>
      </c>
      <c r="J6" s="21">
        <v>1</v>
      </c>
      <c r="K6">
        <v>1</v>
      </c>
      <c r="L6">
        <v>1</v>
      </c>
      <c r="M6">
        <v>1</v>
      </c>
      <c r="N6" s="21"/>
      <c r="O6" s="3">
        <f t="shared" si="0"/>
        <v>6</v>
      </c>
      <c r="P6" s="41">
        <f t="shared" si="1"/>
        <v>1</v>
      </c>
      <c r="Q6" s="22"/>
      <c r="R6" s="24" t="str">
        <f t="shared" si="2"/>
        <v>||||||||||||||||||||||||||||||||||||</v>
      </c>
      <c r="V6" s="47"/>
    </row>
    <row r="7" spans="1:22" ht="26" x14ac:dyDescent="0.4">
      <c r="A7" s="29">
        <v>5</v>
      </c>
      <c r="B7" s="64" t="s">
        <v>253</v>
      </c>
      <c r="C7" s="64" t="s">
        <v>103</v>
      </c>
      <c r="D7" s="64"/>
      <c r="E7" s="64" t="s">
        <v>430</v>
      </c>
      <c r="F7" s="110" t="s">
        <v>96</v>
      </c>
      <c r="G7" s="1" t="s">
        <v>149</v>
      </c>
      <c r="H7" s="29">
        <v>1</v>
      </c>
      <c r="I7"/>
      <c r="J7" s="3">
        <v>1</v>
      </c>
      <c r="K7">
        <v>1</v>
      </c>
      <c r="L7">
        <v>1</v>
      </c>
      <c r="M7"/>
      <c r="N7" s="3"/>
      <c r="O7" s="3">
        <f t="shared" si="0"/>
        <v>4</v>
      </c>
      <c r="P7" s="41">
        <f t="shared" si="1"/>
        <v>0.66666666666666663</v>
      </c>
      <c r="Q7" s="1"/>
      <c r="R7" s="10" t="str">
        <f t="shared" si="2"/>
        <v>||||||||||||||||||||||||</v>
      </c>
      <c r="S7">
        <v>1</v>
      </c>
      <c r="V7" s="35" t="s">
        <v>32</v>
      </c>
    </row>
    <row r="8" spans="1:22" ht="26" x14ac:dyDescent="0.4">
      <c r="A8" s="29">
        <v>6</v>
      </c>
      <c r="B8" s="64" t="s">
        <v>168</v>
      </c>
      <c r="C8" s="64" t="s">
        <v>103</v>
      </c>
      <c r="D8" s="64"/>
      <c r="E8" s="64" t="s">
        <v>430</v>
      </c>
      <c r="F8" s="110" t="s">
        <v>96</v>
      </c>
      <c r="G8" s="1" t="s">
        <v>149</v>
      </c>
      <c r="H8" s="29">
        <v>1</v>
      </c>
      <c r="I8"/>
      <c r="J8" s="3">
        <v>1</v>
      </c>
      <c r="K8">
        <v>1</v>
      </c>
      <c r="L8">
        <v>1</v>
      </c>
      <c r="M8">
        <v>1</v>
      </c>
      <c r="N8" s="3"/>
      <c r="O8" s="3">
        <f t="shared" si="0"/>
        <v>5</v>
      </c>
      <c r="P8" s="41">
        <f t="shared" si="1"/>
        <v>0.83333333333333337</v>
      </c>
      <c r="Q8" s="1"/>
      <c r="R8" s="10" t="str">
        <f t="shared" si="2"/>
        <v>||||||||||||||||||||||||||||||</v>
      </c>
      <c r="S8">
        <v>1</v>
      </c>
      <c r="V8" s="35" t="s">
        <v>33</v>
      </c>
    </row>
    <row r="9" spans="1:22" ht="26" x14ac:dyDescent="0.4">
      <c r="A9" s="29">
        <v>7</v>
      </c>
      <c r="B9" s="64" t="s">
        <v>606</v>
      </c>
      <c r="C9" s="64" t="s">
        <v>103</v>
      </c>
      <c r="D9" s="64"/>
      <c r="E9" s="64" t="s">
        <v>430</v>
      </c>
      <c r="F9" s="110" t="s">
        <v>97</v>
      </c>
      <c r="G9" s="1" t="s">
        <v>149</v>
      </c>
      <c r="H9" s="29">
        <v>1</v>
      </c>
      <c r="I9">
        <v>1</v>
      </c>
      <c r="J9" s="3"/>
      <c r="K9"/>
      <c r="L9"/>
      <c r="M9"/>
      <c r="N9" s="3"/>
      <c r="O9" s="3">
        <f t="shared" si="0"/>
        <v>2</v>
      </c>
      <c r="P9" s="41">
        <f t="shared" si="1"/>
        <v>0.33333333333333331</v>
      </c>
      <c r="Q9" s="1"/>
      <c r="R9" s="10" t="str">
        <f t="shared" si="2"/>
        <v>||||||||||||</v>
      </c>
      <c r="V9" s="35" t="s">
        <v>34</v>
      </c>
    </row>
    <row r="10" spans="1:22" ht="26" x14ac:dyDescent="0.4">
      <c r="A10" s="45">
        <v>8</v>
      </c>
      <c r="B10" s="64" t="s">
        <v>607</v>
      </c>
      <c r="C10" s="64" t="s">
        <v>103</v>
      </c>
      <c r="D10" s="64"/>
      <c r="E10" s="64" t="s">
        <v>430</v>
      </c>
      <c r="F10" s="110" t="s">
        <v>97</v>
      </c>
      <c r="G10" s="1" t="s">
        <v>149</v>
      </c>
      <c r="H10" s="29">
        <v>1</v>
      </c>
      <c r="I10">
        <v>1</v>
      </c>
      <c r="J10" s="3"/>
      <c r="K10"/>
      <c r="L10"/>
      <c r="M10"/>
      <c r="N10" s="3"/>
      <c r="O10" s="3">
        <f t="shared" si="0"/>
        <v>2</v>
      </c>
      <c r="P10" s="41">
        <f t="shared" si="1"/>
        <v>0.33333333333333331</v>
      </c>
      <c r="Q10" s="1"/>
      <c r="R10" s="10" t="str">
        <f t="shared" si="2"/>
        <v>||||||||||||</v>
      </c>
      <c r="V10" s="34" t="s">
        <v>36</v>
      </c>
    </row>
    <row r="11" spans="1:22" ht="16" x14ac:dyDescent="0.4">
      <c r="A11" s="29">
        <v>9</v>
      </c>
      <c r="B11" s="64" t="s">
        <v>608</v>
      </c>
      <c r="C11" s="64" t="s">
        <v>103</v>
      </c>
      <c r="D11" s="64"/>
      <c r="E11" s="64" t="s">
        <v>430</v>
      </c>
      <c r="F11" s="110" t="s">
        <v>97</v>
      </c>
      <c r="G11" s="1" t="s">
        <v>149</v>
      </c>
      <c r="H11" s="29">
        <v>1</v>
      </c>
      <c r="I11">
        <v>1</v>
      </c>
      <c r="J11" s="3">
        <v>1</v>
      </c>
      <c r="K11">
        <v>1</v>
      </c>
      <c r="L11"/>
      <c r="M11"/>
      <c r="N11" s="3"/>
      <c r="O11" s="3">
        <f t="shared" si="0"/>
        <v>4</v>
      </c>
      <c r="P11" s="41">
        <f t="shared" si="1"/>
        <v>0.66666666666666663</v>
      </c>
      <c r="Q11" s="1"/>
      <c r="R11" s="10"/>
    </row>
    <row r="12" spans="1:22" ht="16" x14ac:dyDescent="0.4">
      <c r="A12" s="29">
        <v>10</v>
      </c>
      <c r="B12" s="64" t="s">
        <v>609</v>
      </c>
      <c r="C12" s="64" t="s">
        <v>103</v>
      </c>
      <c r="D12" s="64"/>
      <c r="E12" s="64" t="s">
        <v>430</v>
      </c>
      <c r="F12" s="110" t="s">
        <v>96</v>
      </c>
      <c r="G12" s="1" t="s">
        <v>149</v>
      </c>
      <c r="H12" s="29">
        <v>1</v>
      </c>
      <c r="I12"/>
      <c r="J12" s="3"/>
      <c r="K12"/>
      <c r="L12"/>
      <c r="M12">
        <v>1</v>
      </c>
      <c r="N12" s="3"/>
      <c r="O12" s="3">
        <f t="shared" si="0"/>
        <v>2</v>
      </c>
      <c r="P12" s="41">
        <f t="shared" si="1"/>
        <v>0.33333333333333331</v>
      </c>
      <c r="Q12" s="1"/>
      <c r="R12" s="10"/>
    </row>
    <row r="13" spans="1:22" ht="16" x14ac:dyDescent="0.4">
      <c r="A13" s="29">
        <v>11</v>
      </c>
      <c r="B13" s="64" t="s">
        <v>610</v>
      </c>
      <c r="C13" s="64" t="s">
        <v>103</v>
      </c>
      <c r="D13" s="64"/>
      <c r="E13" s="64" t="s">
        <v>430</v>
      </c>
      <c r="F13" s="110" t="s">
        <v>96</v>
      </c>
      <c r="G13" s="1" t="s">
        <v>149</v>
      </c>
      <c r="H13" s="29">
        <v>1</v>
      </c>
      <c r="I13">
        <v>1</v>
      </c>
      <c r="J13" s="3"/>
      <c r="K13">
        <v>1</v>
      </c>
      <c r="L13"/>
      <c r="M13"/>
      <c r="N13" s="3"/>
      <c r="O13" s="3">
        <f t="shared" si="0"/>
        <v>3</v>
      </c>
      <c r="P13" s="41">
        <f t="shared" si="1"/>
        <v>0.5</v>
      </c>
      <c r="Q13" s="1"/>
      <c r="R13" s="10" t="str">
        <f>REPT("||||||",O13)</f>
        <v>||||||||||||||||||</v>
      </c>
    </row>
    <row r="14" spans="1:22" ht="16" x14ac:dyDescent="0.4">
      <c r="A14" s="45">
        <v>12</v>
      </c>
      <c r="B14" s="64" t="s">
        <v>611</v>
      </c>
      <c r="C14" s="64" t="s">
        <v>612</v>
      </c>
      <c r="D14" s="64">
        <v>1</v>
      </c>
      <c r="E14" s="64">
        <v>81807796167</v>
      </c>
      <c r="F14" s="110" t="s">
        <v>97</v>
      </c>
      <c r="G14" s="1" t="s">
        <v>149</v>
      </c>
      <c r="H14" s="29">
        <v>1</v>
      </c>
      <c r="I14">
        <v>1</v>
      </c>
      <c r="J14" s="3"/>
      <c r="K14"/>
      <c r="L14">
        <v>1</v>
      </c>
      <c r="M14">
        <v>1</v>
      </c>
      <c r="N14" s="3"/>
      <c r="O14" s="3">
        <f t="shared" si="0"/>
        <v>4</v>
      </c>
      <c r="P14" s="41">
        <f t="shared" si="1"/>
        <v>0.66666666666666663</v>
      </c>
      <c r="Q14" s="1"/>
      <c r="R14" s="10" t="str">
        <f>REPT("||||||",O14)</f>
        <v>||||||||||||||||||||||||</v>
      </c>
    </row>
    <row r="15" spans="1:22" s="23" customFormat="1" ht="16" x14ac:dyDescent="0.4">
      <c r="A15" s="29">
        <v>13</v>
      </c>
      <c r="B15" s="64" t="s">
        <v>613</v>
      </c>
      <c r="C15" s="64" t="s">
        <v>614</v>
      </c>
      <c r="D15" s="64">
        <v>1</v>
      </c>
      <c r="E15" s="64">
        <v>82136980911</v>
      </c>
      <c r="F15" s="46" t="s">
        <v>96</v>
      </c>
      <c r="G15" s="1" t="s">
        <v>149</v>
      </c>
      <c r="H15" s="29">
        <v>1</v>
      </c>
      <c r="I15">
        <v>1</v>
      </c>
      <c r="J15" s="21">
        <v>1</v>
      </c>
      <c r="K15"/>
      <c r="L15">
        <v>1</v>
      </c>
      <c r="M15">
        <v>1</v>
      </c>
      <c r="N15" s="21"/>
      <c r="O15" s="3">
        <f t="shared" si="0"/>
        <v>5</v>
      </c>
      <c r="P15" s="41">
        <f t="shared" si="1"/>
        <v>0.83333333333333337</v>
      </c>
      <c r="Q15" s="22"/>
      <c r="R15" s="24" t="str">
        <f>REPT("||||||",O15)</f>
        <v>||||||||||||||||||||||||||||||</v>
      </c>
      <c r="S15" s="23">
        <v>1</v>
      </c>
    </row>
    <row r="16" spans="1:22" ht="16" x14ac:dyDescent="0.4">
      <c r="A16" s="29">
        <v>14</v>
      </c>
      <c r="B16" s="64" t="s">
        <v>630</v>
      </c>
      <c r="C16" s="64" t="s">
        <v>615</v>
      </c>
      <c r="D16" s="64">
        <v>1</v>
      </c>
      <c r="E16" s="64">
        <v>85725376161</v>
      </c>
      <c r="F16" s="110" t="s">
        <v>96</v>
      </c>
      <c r="G16" s="1" t="s">
        <v>149</v>
      </c>
      <c r="H16" s="29">
        <v>1</v>
      </c>
      <c r="I16">
        <v>1</v>
      </c>
      <c r="J16" s="3">
        <v>1</v>
      </c>
      <c r="K16">
        <v>1</v>
      </c>
      <c r="L16">
        <v>1</v>
      </c>
      <c r="M16">
        <v>1</v>
      </c>
      <c r="N16" s="3"/>
      <c r="O16" s="3">
        <f t="shared" si="0"/>
        <v>6</v>
      </c>
      <c r="P16" s="41">
        <f t="shared" si="1"/>
        <v>1</v>
      </c>
      <c r="Q16" s="1"/>
      <c r="R16" s="10" t="str">
        <f>REPT("||||||",O16)</f>
        <v>||||||||||||||||||||||||||||||||||||</v>
      </c>
    </row>
    <row r="17" spans="1:19" s="23" customFormat="1" ht="16" x14ac:dyDescent="0.4">
      <c r="A17" s="29">
        <v>15</v>
      </c>
      <c r="B17" s="64" t="s">
        <v>616</v>
      </c>
      <c r="C17" s="64" t="s">
        <v>615</v>
      </c>
      <c r="D17" s="64">
        <v>1</v>
      </c>
      <c r="E17" s="64">
        <v>85293211249</v>
      </c>
      <c r="F17" s="46" t="s">
        <v>96</v>
      </c>
      <c r="G17" s="1" t="s">
        <v>149</v>
      </c>
      <c r="H17" s="29">
        <v>1</v>
      </c>
      <c r="I17">
        <v>1</v>
      </c>
      <c r="J17" s="21"/>
      <c r="K17"/>
      <c r="L17"/>
      <c r="M17">
        <v>1</v>
      </c>
      <c r="N17" s="21"/>
      <c r="O17" s="3">
        <f t="shared" si="0"/>
        <v>3</v>
      </c>
      <c r="P17" s="41">
        <f t="shared" si="1"/>
        <v>0.5</v>
      </c>
      <c r="Q17" s="22"/>
      <c r="R17" s="24"/>
    </row>
    <row r="18" spans="1:19" ht="16" x14ac:dyDescent="0.4">
      <c r="A18" s="45">
        <v>16</v>
      </c>
      <c r="B18" s="64" t="s">
        <v>273</v>
      </c>
      <c r="C18" s="64" t="s">
        <v>103</v>
      </c>
      <c r="D18" s="64"/>
      <c r="E18" s="64" t="s">
        <v>430</v>
      </c>
      <c r="F18" s="110" t="s">
        <v>96</v>
      </c>
      <c r="G18" s="1" t="s">
        <v>149</v>
      </c>
      <c r="H18" s="29">
        <v>1</v>
      </c>
      <c r="I18">
        <v>1</v>
      </c>
      <c r="J18" s="3">
        <v>1</v>
      </c>
      <c r="K18">
        <v>1</v>
      </c>
      <c r="L18">
        <v>1</v>
      </c>
      <c r="M18">
        <v>1</v>
      </c>
      <c r="N18" s="3"/>
      <c r="O18" s="3">
        <f t="shared" si="0"/>
        <v>6</v>
      </c>
      <c r="P18" s="41">
        <f t="shared" si="1"/>
        <v>1</v>
      </c>
      <c r="Q18" s="1"/>
      <c r="R18" s="10" t="str">
        <f t="shared" ref="R18:R28" si="3">REPT("||||||",O18)</f>
        <v>||||||||||||||||||||||||||||||||||||</v>
      </c>
      <c r="S18">
        <v>1</v>
      </c>
    </row>
    <row r="19" spans="1:19" ht="16" x14ac:dyDescent="0.4">
      <c r="A19" s="29">
        <v>17</v>
      </c>
      <c r="B19" s="64" t="s">
        <v>291</v>
      </c>
      <c r="C19" s="64" t="s">
        <v>103</v>
      </c>
      <c r="D19" s="64"/>
      <c r="E19" s="64" t="s">
        <v>430</v>
      </c>
      <c r="F19" s="110" t="s">
        <v>96</v>
      </c>
      <c r="G19" s="1" t="s">
        <v>149</v>
      </c>
      <c r="H19" s="29">
        <v>1</v>
      </c>
      <c r="I19">
        <v>1</v>
      </c>
      <c r="J19" s="3"/>
      <c r="K19"/>
      <c r="L19">
        <v>1</v>
      </c>
      <c r="M19">
        <v>1</v>
      </c>
      <c r="N19" s="3"/>
      <c r="O19" s="3">
        <f t="shared" si="0"/>
        <v>4</v>
      </c>
      <c r="P19" s="41">
        <f t="shared" si="1"/>
        <v>0.66666666666666663</v>
      </c>
      <c r="Q19" s="1"/>
      <c r="R19" s="10" t="str">
        <f t="shared" si="3"/>
        <v>||||||||||||||||||||||||</v>
      </c>
      <c r="S19">
        <v>1</v>
      </c>
    </row>
    <row r="20" spans="1:19" ht="16" x14ac:dyDescent="0.4">
      <c r="A20" s="29">
        <v>18</v>
      </c>
      <c r="B20" s="64" t="s">
        <v>204</v>
      </c>
      <c r="C20" s="64" t="s">
        <v>617</v>
      </c>
      <c r="D20" s="64"/>
      <c r="E20" s="64" t="s">
        <v>430</v>
      </c>
      <c r="F20" s="110" t="s">
        <v>96</v>
      </c>
      <c r="G20" s="1" t="s">
        <v>149</v>
      </c>
      <c r="H20" s="29">
        <v>1</v>
      </c>
      <c r="I20">
        <v>1</v>
      </c>
      <c r="J20" s="3">
        <v>1</v>
      </c>
      <c r="K20">
        <v>1</v>
      </c>
      <c r="L20">
        <v>1</v>
      </c>
      <c r="M20">
        <v>1</v>
      </c>
      <c r="N20" s="3"/>
      <c r="O20" s="3">
        <f t="shared" si="0"/>
        <v>6</v>
      </c>
      <c r="P20" s="41">
        <f t="shared" si="1"/>
        <v>1</v>
      </c>
      <c r="Q20" s="1"/>
      <c r="R20" s="10" t="str">
        <f t="shared" si="3"/>
        <v>||||||||||||||||||||||||||||||||||||</v>
      </c>
    </row>
    <row r="21" spans="1:19" ht="16" x14ac:dyDescent="0.4">
      <c r="A21" s="29">
        <v>19</v>
      </c>
      <c r="B21" s="64" t="s">
        <v>263</v>
      </c>
      <c r="C21" s="64" t="s">
        <v>617</v>
      </c>
      <c r="D21" s="64"/>
      <c r="E21" s="64" t="s">
        <v>430</v>
      </c>
      <c r="F21" s="110" t="s">
        <v>96</v>
      </c>
      <c r="G21" s="1" t="s">
        <v>149</v>
      </c>
      <c r="H21" s="29">
        <v>1</v>
      </c>
      <c r="I21"/>
      <c r="J21" s="3">
        <v>1</v>
      </c>
      <c r="K21">
        <v>1</v>
      </c>
      <c r="L21">
        <v>1</v>
      </c>
      <c r="M21">
        <v>1</v>
      </c>
      <c r="N21" s="3"/>
      <c r="O21" s="3">
        <f t="shared" si="0"/>
        <v>5</v>
      </c>
      <c r="P21" s="41">
        <f t="shared" si="1"/>
        <v>0.83333333333333337</v>
      </c>
      <c r="Q21" s="1"/>
      <c r="R21" s="10" t="str">
        <f t="shared" si="3"/>
        <v>||||||||||||||||||||||||||||||</v>
      </c>
      <c r="S21">
        <v>1</v>
      </c>
    </row>
    <row r="22" spans="1:19" ht="16" x14ac:dyDescent="0.4">
      <c r="A22" s="45">
        <v>20</v>
      </c>
      <c r="B22" s="64" t="s">
        <v>279</v>
      </c>
      <c r="C22" s="64" t="s">
        <v>617</v>
      </c>
      <c r="D22" s="64"/>
      <c r="E22" s="64" t="s">
        <v>430</v>
      </c>
      <c r="F22" s="110" t="s">
        <v>96</v>
      </c>
      <c r="G22" s="1" t="s">
        <v>149</v>
      </c>
      <c r="H22" s="29">
        <v>1</v>
      </c>
      <c r="I22">
        <v>1</v>
      </c>
      <c r="J22" s="3">
        <v>1</v>
      </c>
      <c r="K22"/>
      <c r="L22">
        <v>1</v>
      </c>
      <c r="M22">
        <v>1</v>
      </c>
      <c r="N22" s="3"/>
      <c r="O22" s="3">
        <f t="shared" si="0"/>
        <v>5</v>
      </c>
      <c r="P22" s="41">
        <f t="shared" si="1"/>
        <v>0.83333333333333337</v>
      </c>
      <c r="Q22" s="1"/>
      <c r="R22" s="10" t="str">
        <f t="shared" si="3"/>
        <v>||||||||||||||||||||||||||||||</v>
      </c>
      <c r="S22">
        <v>1</v>
      </c>
    </row>
    <row r="23" spans="1:19" ht="16" x14ac:dyDescent="0.4">
      <c r="A23" s="29">
        <v>21</v>
      </c>
      <c r="B23" s="64" t="s">
        <v>282</v>
      </c>
      <c r="C23" s="64" t="s">
        <v>617</v>
      </c>
      <c r="D23" s="64"/>
      <c r="E23" s="64" t="s">
        <v>430</v>
      </c>
      <c r="F23" s="110" t="s">
        <v>96</v>
      </c>
      <c r="G23" s="1" t="s">
        <v>149</v>
      </c>
      <c r="H23" s="29">
        <v>1</v>
      </c>
      <c r="I23"/>
      <c r="J23" s="3">
        <v>1</v>
      </c>
      <c r="K23">
        <v>1</v>
      </c>
      <c r="L23">
        <v>1</v>
      </c>
      <c r="M23">
        <v>1</v>
      </c>
      <c r="N23" s="3"/>
      <c r="O23" s="3">
        <f t="shared" si="0"/>
        <v>5</v>
      </c>
      <c r="P23" s="41">
        <f t="shared" si="1"/>
        <v>0.83333333333333337</v>
      </c>
      <c r="Q23" s="1"/>
      <c r="R23" s="10" t="str">
        <f t="shared" si="3"/>
        <v>||||||||||||||||||||||||||||||</v>
      </c>
      <c r="S23">
        <v>1</v>
      </c>
    </row>
    <row r="24" spans="1:19" ht="16" x14ac:dyDescent="0.4">
      <c r="A24" s="29">
        <v>22</v>
      </c>
      <c r="B24" s="64" t="s">
        <v>276</v>
      </c>
      <c r="C24" s="64" t="s">
        <v>617</v>
      </c>
      <c r="D24" s="64"/>
      <c r="E24" s="64" t="s">
        <v>430</v>
      </c>
      <c r="F24" s="110" t="s">
        <v>96</v>
      </c>
      <c r="G24" s="1" t="s">
        <v>149</v>
      </c>
      <c r="H24" s="29">
        <v>1</v>
      </c>
      <c r="I24">
        <v>1</v>
      </c>
      <c r="J24" s="3">
        <v>1</v>
      </c>
      <c r="K24">
        <v>1</v>
      </c>
      <c r="L24">
        <v>1</v>
      </c>
      <c r="M24">
        <v>1</v>
      </c>
      <c r="N24" s="3"/>
      <c r="O24" s="3">
        <f t="shared" si="0"/>
        <v>6</v>
      </c>
      <c r="P24" s="41">
        <f t="shared" si="1"/>
        <v>1</v>
      </c>
      <c r="Q24" s="1"/>
      <c r="R24" s="10" t="str">
        <f t="shared" si="3"/>
        <v>||||||||||||||||||||||||||||||||||||</v>
      </c>
      <c r="S24">
        <v>1</v>
      </c>
    </row>
    <row r="25" spans="1:19" ht="16" x14ac:dyDescent="0.4">
      <c r="A25" s="29">
        <v>23</v>
      </c>
      <c r="B25" s="64" t="s">
        <v>262</v>
      </c>
      <c r="C25" s="64" t="s">
        <v>617</v>
      </c>
      <c r="D25" s="64"/>
      <c r="E25" s="64" t="s">
        <v>430</v>
      </c>
      <c r="F25" s="110" t="s">
        <v>97</v>
      </c>
      <c r="G25" s="1" t="s">
        <v>149</v>
      </c>
      <c r="H25" s="29">
        <v>1</v>
      </c>
      <c r="I25">
        <v>1</v>
      </c>
      <c r="J25" s="3">
        <v>1</v>
      </c>
      <c r="K25">
        <v>1</v>
      </c>
      <c r="L25">
        <v>1</v>
      </c>
      <c r="M25">
        <v>1</v>
      </c>
      <c r="N25" s="3"/>
      <c r="O25" s="3">
        <f t="shared" si="0"/>
        <v>6</v>
      </c>
      <c r="P25" s="41">
        <f t="shared" si="1"/>
        <v>1</v>
      </c>
      <c r="Q25" s="1"/>
      <c r="R25" s="10" t="str">
        <f t="shared" si="3"/>
        <v>||||||||||||||||||||||||||||||||||||</v>
      </c>
      <c r="S25">
        <v>1</v>
      </c>
    </row>
    <row r="26" spans="1:19" ht="16" x14ac:dyDescent="0.4">
      <c r="A26" s="45">
        <v>24</v>
      </c>
      <c r="B26" s="64" t="s">
        <v>274</v>
      </c>
      <c r="C26" s="64" t="s">
        <v>617</v>
      </c>
      <c r="D26" s="64"/>
      <c r="E26" s="64" t="s">
        <v>430</v>
      </c>
      <c r="F26" s="110" t="s">
        <v>96</v>
      </c>
      <c r="G26" s="1" t="s">
        <v>149</v>
      </c>
      <c r="H26" s="29">
        <v>1</v>
      </c>
      <c r="I26">
        <v>1</v>
      </c>
      <c r="J26" s="3"/>
      <c r="K26"/>
      <c r="L26">
        <v>1</v>
      </c>
      <c r="M26">
        <v>1</v>
      </c>
      <c r="N26" s="3"/>
      <c r="O26" s="3">
        <f t="shared" si="0"/>
        <v>4</v>
      </c>
      <c r="P26" s="41">
        <f t="shared" si="1"/>
        <v>0.66666666666666663</v>
      </c>
      <c r="Q26" s="1"/>
      <c r="R26" s="10" t="str">
        <f t="shared" si="3"/>
        <v>||||||||||||||||||||||||</v>
      </c>
      <c r="S26">
        <v>1</v>
      </c>
    </row>
    <row r="27" spans="1:19" ht="16" x14ac:dyDescent="0.4">
      <c r="A27" s="29">
        <v>25</v>
      </c>
      <c r="B27" s="64" t="s">
        <v>261</v>
      </c>
      <c r="C27" s="64" t="s">
        <v>617</v>
      </c>
      <c r="D27" s="64"/>
      <c r="E27" s="64" t="s">
        <v>430</v>
      </c>
      <c r="F27" s="110" t="s">
        <v>96</v>
      </c>
      <c r="G27" s="1" t="s">
        <v>149</v>
      </c>
      <c r="H27" s="29">
        <v>1</v>
      </c>
      <c r="I27">
        <v>1</v>
      </c>
      <c r="J27" s="3">
        <v>1</v>
      </c>
      <c r="K27">
        <v>1</v>
      </c>
      <c r="L27">
        <v>1</v>
      </c>
      <c r="M27">
        <v>1</v>
      </c>
      <c r="N27" s="3"/>
      <c r="O27" s="3">
        <f t="shared" si="0"/>
        <v>6</v>
      </c>
      <c r="P27" s="41">
        <f t="shared" si="1"/>
        <v>1</v>
      </c>
      <c r="Q27" s="1"/>
      <c r="R27" s="10" t="str">
        <f t="shared" si="3"/>
        <v>||||||||||||||||||||||||||||||||||||</v>
      </c>
      <c r="S27">
        <v>1</v>
      </c>
    </row>
    <row r="28" spans="1:19" ht="16" x14ac:dyDescent="0.4">
      <c r="A28" s="29">
        <v>26</v>
      </c>
      <c r="B28" s="64" t="s">
        <v>270</v>
      </c>
      <c r="C28" s="64" t="s">
        <v>617</v>
      </c>
      <c r="D28" s="64"/>
      <c r="E28" s="64" t="s">
        <v>430</v>
      </c>
      <c r="F28" s="110" t="s">
        <v>96</v>
      </c>
      <c r="G28" s="1" t="s">
        <v>149</v>
      </c>
      <c r="H28" s="29">
        <v>1</v>
      </c>
      <c r="I28">
        <v>1</v>
      </c>
      <c r="J28" s="3">
        <v>1</v>
      </c>
      <c r="K28">
        <v>1</v>
      </c>
      <c r="L28">
        <v>1</v>
      </c>
      <c r="M28">
        <v>1</v>
      </c>
      <c r="N28" s="3"/>
      <c r="O28" s="3">
        <f t="shared" si="0"/>
        <v>6</v>
      </c>
      <c r="P28" s="41">
        <f t="shared" si="1"/>
        <v>1</v>
      </c>
      <c r="Q28" s="1"/>
      <c r="R28" s="10" t="str">
        <f t="shared" si="3"/>
        <v>||||||||||||||||||||||||||||||||||||</v>
      </c>
      <c r="S28">
        <v>1</v>
      </c>
    </row>
    <row r="29" spans="1:19" ht="16" x14ac:dyDescent="0.4">
      <c r="A29" s="29">
        <v>27</v>
      </c>
      <c r="B29" s="64" t="s">
        <v>265</v>
      </c>
      <c r="C29" s="64" t="s">
        <v>617</v>
      </c>
      <c r="D29" s="64"/>
      <c r="E29" s="64" t="s">
        <v>430</v>
      </c>
      <c r="F29" s="110" t="s">
        <v>96</v>
      </c>
      <c r="G29" s="1" t="s">
        <v>149</v>
      </c>
      <c r="H29" s="29">
        <v>1</v>
      </c>
      <c r="I29">
        <v>1</v>
      </c>
      <c r="J29" s="3"/>
      <c r="K29">
        <v>1</v>
      </c>
      <c r="L29">
        <v>1</v>
      </c>
      <c r="M29">
        <v>1</v>
      </c>
      <c r="N29" s="3"/>
      <c r="O29" s="3">
        <f t="shared" si="0"/>
        <v>5</v>
      </c>
      <c r="P29" s="41">
        <f t="shared" si="1"/>
        <v>0.83333333333333337</v>
      </c>
      <c r="Q29" s="1"/>
      <c r="R29" s="10"/>
      <c r="S29">
        <v>1</v>
      </c>
    </row>
    <row r="30" spans="1:19" ht="16" x14ac:dyDescent="0.4">
      <c r="A30" s="45">
        <v>28</v>
      </c>
      <c r="B30" s="64" t="s">
        <v>289</v>
      </c>
      <c r="C30" s="64" t="s">
        <v>617</v>
      </c>
      <c r="D30" s="64"/>
      <c r="E30" s="64" t="s">
        <v>430</v>
      </c>
      <c r="F30" s="110" t="s">
        <v>96</v>
      </c>
      <c r="G30" s="1" t="s">
        <v>149</v>
      </c>
      <c r="H30" s="29">
        <v>1</v>
      </c>
      <c r="I30">
        <v>1</v>
      </c>
      <c r="J30" s="3">
        <v>1</v>
      </c>
      <c r="K30">
        <v>1</v>
      </c>
      <c r="L30">
        <v>1</v>
      </c>
      <c r="M30">
        <v>1</v>
      </c>
      <c r="N30" s="3"/>
      <c r="O30" s="3">
        <f t="shared" si="0"/>
        <v>6</v>
      </c>
      <c r="P30" s="41">
        <f t="shared" si="1"/>
        <v>1</v>
      </c>
      <c r="Q30" s="1"/>
      <c r="R30" s="10" t="str">
        <f>REPT("||||||",O30)</f>
        <v>||||||||||||||||||||||||||||||||||||</v>
      </c>
      <c r="S30">
        <v>1</v>
      </c>
    </row>
    <row r="31" spans="1:19" ht="16" x14ac:dyDescent="0.4">
      <c r="A31" s="29">
        <v>29</v>
      </c>
      <c r="B31" s="64" t="s">
        <v>618</v>
      </c>
      <c r="C31" s="64" t="s">
        <v>617</v>
      </c>
      <c r="D31" s="64"/>
      <c r="E31" s="64" t="s">
        <v>430</v>
      </c>
      <c r="F31" s="110" t="s">
        <v>96</v>
      </c>
      <c r="G31" s="1" t="s">
        <v>149</v>
      </c>
      <c r="H31" s="29">
        <v>1</v>
      </c>
      <c r="I31"/>
      <c r="J31" s="3"/>
      <c r="K31"/>
      <c r="L31"/>
      <c r="M31"/>
      <c r="N31" s="3"/>
      <c r="O31" s="3">
        <f t="shared" si="0"/>
        <v>1</v>
      </c>
      <c r="P31" s="41">
        <f t="shared" si="1"/>
        <v>0.16666666666666666</v>
      </c>
      <c r="Q31" s="1"/>
      <c r="R31" s="10" t="str">
        <f>REPT("||||||",O31)</f>
        <v>||||||</v>
      </c>
    </row>
    <row r="32" spans="1:19" ht="16" x14ac:dyDescent="0.4">
      <c r="A32" s="29">
        <v>30</v>
      </c>
      <c r="B32" s="64" t="s">
        <v>275</v>
      </c>
      <c r="C32" s="64" t="s">
        <v>617</v>
      </c>
      <c r="D32" s="64"/>
      <c r="E32" s="64" t="s">
        <v>430</v>
      </c>
      <c r="F32" s="110" t="s">
        <v>96</v>
      </c>
      <c r="G32" s="1" t="s">
        <v>149</v>
      </c>
      <c r="H32" s="29">
        <v>1</v>
      </c>
      <c r="I32">
        <v>1</v>
      </c>
      <c r="J32" s="29">
        <v>1</v>
      </c>
      <c r="K32">
        <v>1</v>
      </c>
      <c r="L32">
        <v>1</v>
      </c>
      <c r="M32">
        <v>1</v>
      </c>
      <c r="N32" s="29"/>
      <c r="O32" s="3">
        <f t="shared" si="0"/>
        <v>6</v>
      </c>
      <c r="P32" s="41">
        <f t="shared" si="1"/>
        <v>1</v>
      </c>
      <c r="Q32" s="1"/>
      <c r="R32" s="10" t="str">
        <f>REPT("||||||",O32)</f>
        <v>||||||||||||||||||||||||||||||||||||</v>
      </c>
      <c r="S32">
        <v>1</v>
      </c>
    </row>
    <row r="33" spans="1:19" ht="16" x14ac:dyDescent="0.4">
      <c r="A33" s="29">
        <v>31</v>
      </c>
      <c r="B33" s="64" t="s">
        <v>287</v>
      </c>
      <c r="C33" s="64" t="s">
        <v>191</v>
      </c>
      <c r="D33" s="64">
        <v>1</v>
      </c>
      <c r="E33" s="64">
        <v>8158240084</v>
      </c>
      <c r="F33" s="110" t="s">
        <v>96</v>
      </c>
      <c r="G33" s="1" t="s">
        <v>149</v>
      </c>
      <c r="H33" s="29">
        <v>1</v>
      </c>
      <c r="I33">
        <v>1</v>
      </c>
      <c r="J33" s="3"/>
      <c r="K33"/>
      <c r="L33">
        <v>1</v>
      </c>
      <c r="M33">
        <v>1</v>
      </c>
      <c r="N33" s="3"/>
      <c r="O33" s="3">
        <f t="shared" si="0"/>
        <v>4</v>
      </c>
      <c r="P33" s="41">
        <f t="shared" si="1"/>
        <v>0.66666666666666663</v>
      </c>
      <c r="R33" s="10" t="str">
        <f>REPT("||||||",O33)</f>
        <v>||||||||||||||||||||||||</v>
      </c>
      <c r="S33">
        <v>1</v>
      </c>
    </row>
    <row r="34" spans="1:19" x14ac:dyDescent="0.35">
      <c r="A34" s="45">
        <v>32</v>
      </c>
      <c r="B34" s="64" t="s">
        <v>619</v>
      </c>
      <c r="C34" s="64" t="s">
        <v>191</v>
      </c>
      <c r="D34" s="64">
        <v>1</v>
      </c>
      <c r="E34" s="64">
        <v>85725984779</v>
      </c>
      <c r="F34" s="110" t="s">
        <v>96</v>
      </c>
      <c r="G34" s="1" t="s">
        <v>149</v>
      </c>
      <c r="H34" s="29">
        <v>1</v>
      </c>
      <c r="I34">
        <v>1</v>
      </c>
      <c r="J34" s="3"/>
      <c r="K34"/>
      <c r="L34"/>
      <c r="M34"/>
      <c r="N34" s="3"/>
      <c r="O34" s="3">
        <f t="shared" si="0"/>
        <v>2</v>
      </c>
      <c r="P34" s="41">
        <f t="shared" si="1"/>
        <v>0.33333333333333331</v>
      </c>
    </row>
    <row r="35" spans="1:19" x14ac:dyDescent="0.35">
      <c r="A35" s="29">
        <v>33</v>
      </c>
      <c r="B35" s="64" t="s">
        <v>620</v>
      </c>
      <c r="C35" s="64" t="s">
        <v>191</v>
      </c>
      <c r="D35" s="64">
        <v>1</v>
      </c>
      <c r="E35" s="64">
        <v>85642119229</v>
      </c>
      <c r="F35" s="110" t="s">
        <v>96</v>
      </c>
      <c r="G35" s="1" t="s">
        <v>149</v>
      </c>
      <c r="H35" s="29">
        <v>1</v>
      </c>
      <c r="I35">
        <v>1</v>
      </c>
      <c r="J35" s="3"/>
      <c r="K35"/>
      <c r="L35">
        <v>1</v>
      </c>
      <c r="M35"/>
      <c r="N35" s="3"/>
      <c r="O35" s="3">
        <f t="shared" si="0"/>
        <v>3</v>
      </c>
      <c r="P35" s="41">
        <f t="shared" si="1"/>
        <v>0.5</v>
      </c>
      <c r="S35">
        <v>1</v>
      </c>
    </row>
    <row r="36" spans="1:19" x14ac:dyDescent="0.35">
      <c r="A36" s="29">
        <v>34</v>
      </c>
      <c r="B36" s="64" t="s">
        <v>110</v>
      </c>
      <c r="C36" s="64" t="s">
        <v>292</v>
      </c>
      <c r="D36" s="64"/>
      <c r="E36" s="64">
        <v>81642358388</v>
      </c>
      <c r="F36" s="110" t="s">
        <v>96</v>
      </c>
      <c r="G36" s="1" t="s">
        <v>149</v>
      </c>
      <c r="H36" s="29">
        <v>1</v>
      </c>
      <c r="I36">
        <v>1</v>
      </c>
      <c r="J36" s="3"/>
      <c r="K36"/>
      <c r="L36"/>
      <c r="M36"/>
      <c r="N36" s="3"/>
      <c r="O36" s="3">
        <f t="shared" si="0"/>
        <v>2</v>
      </c>
      <c r="P36" s="41">
        <f t="shared" si="1"/>
        <v>0.33333333333333331</v>
      </c>
    </row>
    <row r="37" spans="1:19" x14ac:dyDescent="0.35">
      <c r="A37" s="29">
        <v>35</v>
      </c>
      <c r="B37" s="113" t="s">
        <v>631</v>
      </c>
      <c r="C37" s="64" t="s">
        <v>617</v>
      </c>
      <c r="D37" s="64"/>
      <c r="E37" s="64"/>
      <c r="F37" s="114" t="s">
        <v>97</v>
      </c>
      <c r="G37" s="1" t="s">
        <v>149</v>
      </c>
      <c r="H37" s="29"/>
      <c r="I37">
        <v>1</v>
      </c>
      <c r="J37" s="3">
        <v>1</v>
      </c>
      <c r="K37">
        <v>1</v>
      </c>
      <c r="L37">
        <v>1</v>
      </c>
      <c r="M37">
        <v>1</v>
      </c>
      <c r="N37" s="3"/>
      <c r="O37" s="3"/>
      <c r="P37" s="41"/>
    </row>
    <row r="38" spans="1:19" x14ac:dyDescent="0.35">
      <c r="A38" s="45">
        <v>36</v>
      </c>
      <c r="B38" s="113" t="s">
        <v>632</v>
      </c>
      <c r="C38" s="64" t="s">
        <v>617</v>
      </c>
      <c r="D38" s="64"/>
      <c r="E38" s="64"/>
      <c r="F38" s="110" t="s">
        <v>96</v>
      </c>
      <c r="G38" s="1" t="s">
        <v>149</v>
      </c>
      <c r="H38" s="29"/>
      <c r="I38" s="29">
        <v>1</v>
      </c>
      <c r="J38" s="3">
        <v>1</v>
      </c>
      <c r="K38"/>
      <c r="L38"/>
      <c r="M38">
        <v>1</v>
      </c>
      <c r="N38" s="3"/>
      <c r="O38" s="3"/>
      <c r="P38" s="41"/>
    </row>
    <row r="39" spans="1:19" x14ac:dyDescent="0.35">
      <c r="A39" s="29">
        <v>37</v>
      </c>
      <c r="B39" s="113" t="s">
        <v>116</v>
      </c>
      <c r="C39" s="64" t="s">
        <v>617</v>
      </c>
      <c r="D39" s="64"/>
      <c r="E39" s="64"/>
      <c r="F39" s="110" t="s">
        <v>96</v>
      </c>
      <c r="G39" s="1" t="s">
        <v>149</v>
      </c>
      <c r="H39" s="29"/>
      <c r="I39" s="29">
        <v>1</v>
      </c>
      <c r="J39" s="3"/>
      <c r="K39"/>
      <c r="L39"/>
      <c r="M39"/>
      <c r="N39" s="3"/>
      <c r="O39" s="3"/>
      <c r="P39" s="41"/>
    </row>
    <row r="40" spans="1:19" x14ac:dyDescent="0.35">
      <c r="A40" s="29">
        <v>38</v>
      </c>
      <c r="B40" s="113" t="s">
        <v>633</v>
      </c>
      <c r="C40" s="64" t="s">
        <v>617</v>
      </c>
      <c r="D40" s="64"/>
      <c r="E40" s="64"/>
      <c r="F40" s="110" t="s">
        <v>96</v>
      </c>
      <c r="G40" s="1" t="s">
        <v>149</v>
      </c>
      <c r="H40" s="29"/>
      <c r="I40" s="29">
        <v>1</v>
      </c>
      <c r="J40" s="3"/>
      <c r="K40"/>
      <c r="L40"/>
      <c r="M40">
        <v>1</v>
      </c>
      <c r="N40" s="3"/>
      <c r="O40" s="3"/>
      <c r="P40" s="41"/>
    </row>
    <row r="41" spans="1:19" x14ac:dyDescent="0.35">
      <c r="A41" s="29">
        <v>39</v>
      </c>
      <c r="B41" s="113" t="s">
        <v>267</v>
      </c>
      <c r="C41" s="64" t="s">
        <v>617</v>
      </c>
      <c r="D41" s="64"/>
      <c r="E41" s="64"/>
      <c r="F41" s="110" t="s">
        <v>96</v>
      </c>
      <c r="G41" s="1" t="s">
        <v>149</v>
      </c>
      <c r="H41" s="29"/>
      <c r="I41" s="29">
        <v>1</v>
      </c>
      <c r="J41" s="3">
        <v>1</v>
      </c>
      <c r="K41">
        <v>1</v>
      </c>
      <c r="L41">
        <v>1</v>
      </c>
      <c r="M41">
        <v>1</v>
      </c>
      <c r="N41" s="3"/>
      <c r="O41" s="3"/>
      <c r="P41" s="41"/>
      <c r="S41">
        <v>1</v>
      </c>
    </row>
    <row r="42" spans="1:19" x14ac:dyDescent="0.35">
      <c r="A42" s="45">
        <v>40</v>
      </c>
      <c r="B42" s="113" t="s">
        <v>284</v>
      </c>
      <c r="C42" s="64" t="s">
        <v>617</v>
      </c>
      <c r="D42" s="64"/>
      <c r="E42" s="64"/>
      <c r="F42" s="110" t="s">
        <v>96</v>
      </c>
      <c r="G42" s="1" t="s">
        <v>149</v>
      </c>
      <c r="H42" s="29"/>
      <c r="I42" s="29">
        <v>1</v>
      </c>
      <c r="J42" s="3"/>
      <c r="K42"/>
      <c r="L42"/>
      <c r="M42">
        <v>1</v>
      </c>
      <c r="N42" s="3"/>
      <c r="O42" s="3"/>
      <c r="P42" s="41"/>
      <c r="S42">
        <v>1</v>
      </c>
    </row>
    <row r="43" spans="1:19" x14ac:dyDescent="0.35">
      <c r="A43" s="29">
        <v>41</v>
      </c>
      <c r="B43" s="113" t="s">
        <v>634</v>
      </c>
      <c r="C43" s="64" t="s">
        <v>617</v>
      </c>
      <c r="D43" s="64"/>
      <c r="E43" s="64"/>
      <c r="F43" s="110" t="s">
        <v>96</v>
      </c>
      <c r="G43" s="1" t="s">
        <v>149</v>
      </c>
      <c r="H43" s="29"/>
      <c r="I43" s="29">
        <v>1</v>
      </c>
      <c r="J43" s="3">
        <v>1</v>
      </c>
      <c r="K43"/>
      <c r="L43">
        <v>1</v>
      </c>
      <c r="M43">
        <v>1</v>
      </c>
      <c r="N43" s="3"/>
      <c r="O43" s="3"/>
      <c r="P43" s="41"/>
    </row>
    <row r="44" spans="1:19" x14ac:dyDescent="0.35">
      <c r="A44" s="29">
        <v>42</v>
      </c>
      <c r="B44" s="64" t="s">
        <v>288</v>
      </c>
      <c r="C44" s="64" t="s">
        <v>191</v>
      </c>
      <c r="D44" s="64">
        <v>1</v>
      </c>
      <c r="E44" s="64" t="s">
        <v>430</v>
      </c>
      <c r="F44" s="110" t="s">
        <v>96</v>
      </c>
      <c r="G44" s="1" t="s">
        <v>149</v>
      </c>
      <c r="H44" s="29">
        <v>1</v>
      </c>
      <c r="I44" s="29"/>
      <c r="J44" s="3"/>
      <c r="K44"/>
      <c r="L44"/>
      <c r="M44"/>
      <c r="N44" s="3"/>
      <c r="O44" s="3">
        <f t="shared" ref="O44" si="4">SUM(H44:N44)</f>
        <v>1</v>
      </c>
      <c r="P44" s="41">
        <f t="shared" ref="P44" si="5">SUM(H44:N44)/6</f>
        <v>0.16666666666666666</v>
      </c>
    </row>
    <row r="45" spans="1:19" x14ac:dyDescent="0.35">
      <c r="A45" s="29">
        <v>43</v>
      </c>
      <c r="B45" s="113" t="s">
        <v>756</v>
      </c>
      <c r="C45" s="64" t="s">
        <v>757</v>
      </c>
      <c r="D45" s="64"/>
      <c r="E45" s="64"/>
      <c r="F45" s="110" t="s">
        <v>97</v>
      </c>
      <c r="G45" s="1" t="s">
        <v>149</v>
      </c>
      <c r="H45" s="29"/>
      <c r="I45" s="29"/>
      <c r="J45" s="3">
        <v>1</v>
      </c>
      <c r="K45">
        <v>1</v>
      </c>
      <c r="L45">
        <v>1</v>
      </c>
      <c r="M45">
        <v>1</v>
      </c>
      <c r="N45" s="3"/>
      <c r="O45" s="3"/>
      <c r="P45" s="41"/>
    </row>
    <row r="46" spans="1:19" x14ac:dyDescent="0.35">
      <c r="A46" s="29"/>
      <c r="B46" s="119" t="s">
        <v>845</v>
      </c>
      <c r="C46" t="s">
        <v>847</v>
      </c>
      <c r="D46">
        <v>1</v>
      </c>
      <c r="E46" s="64"/>
      <c r="F46" s="110" t="s">
        <v>96</v>
      </c>
      <c r="G46" s="1" t="s">
        <v>149</v>
      </c>
      <c r="H46" s="29"/>
      <c r="I46" s="29"/>
      <c r="J46" s="3"/>
      <c r="K46">
        <v>1</v>
      </c>
      <c r="L46"/>
      <c r="M46" s="3"/>
      <c r="N46" s="3"/>
      <c r="O46" s="3"/>
      <c r="P46" s="41"/>
    </row>
    <row r="47" spans="1:19" x14ac:dyDescent="0.35">
      <c r="A47" s="45">
        <v>44</v>
      </c>
      <c r="B47" s="113" t="s">
        <v>758</v>
      </c>
      <c r="C47" s="64" t="s">
        <v>760</v>
      </c>
      <c r="D47" s="64">
        <v>1</v>
      </c>
      <c r="E47" s="64"/>
      <c r="F47" s="110" t="s">
        <v>97</v>
      </c>
      <c r="G47" s="1" t="s">
        <v>179</v>
      </c>
      <c r="H47" s="29"/>
      <c r="I47" s="29"/>
      <c r="J47" s="3"/>
      <c r="K47" s="3">
        <v>1</v>
      </c>
      <c r="L47" s="3"/>
      <c r="M47" s="3"/>
      <c r="N47" s="3"/>
      <c r="O47" s="3"/>
      <c r="P47" s="41"/>
    </row>
    <row r="48" spans="1:19" x14ac:dyDescent="0.35">
      <c r="A48" s="45"/>
      <c r="B48" s="113" t="s">
        <v>846</v>
      </c>
      <c r="C48" s="64" t="s">
        <v>757</v>
      </c>
      <c r="D48" s="64"/>
      <c r="E48" s="64"/>
      <c r="F48" s="110" t="s">
        <v>97</v>
      </c>
      <c r="G48" s="1" t="s">
        <v>149</v>
      </c>
      <c r="H48" s="29"/>
      <c r="I48" s="29"/>
      <c r="J48" s="3"/>
      <c r="K48" s="3">
        <v>1</v>
      </c>
      <c r="L48" s="3"/>
      <c r="M48" s="3"/>
      <c r="N48" s="3"/>
      <c r="O48" s="3"/>
      <c r="P48" s="41"/>
    </row>
    <row r="49" spans="1:19" x14ac:dyDescent="0.35">
      <c r="A49" s="29">
        <v>45</v>
      </c>
      <c r="B49" s="64" t="s">
        <v>759</v>
      </c>
      <c r="C49" s="64" t="s">
        <v>760</v>
      </c>
      <c r="D49" s="64">
        <v>1</v>
      </c>
      <c r="E49" s="64" t="s">
        <v>430</v>
      </c>
      <c r="F49" s="110" t="s">
        <v>96</v>
      </c>
      <c r="G49" s="1" t="s">
        <v>149</v>
      </c>
      <c r="H49" s="29">
        <v>1</v>
      </c>
      <c r="I49" s="29"/>
      <c r="J49" s="3"/>
      <c r="K49" s="3">
        <v>1</v>
      </c>
      <c r="L49" s="3"/>
      <c r="M49" s="3"/>
      <c r="N49" s="3"/>
      <c r="O49" s="3">
        <f t="shared" ref="O49" si="6">SUM(H49:N49)</f>
        <v>2</v>
      </c>
      <c r="P49" s="41">
        <f t="shared" ref="P49" si="7">SUM(H49:N49)/6</f>
        <v>0.33333333333333331</v>
      </c>
      <c r="S49">
        <v>1</v>
      </c>
    </row>
    <row r="50" spans="1:19" x14ac:dyDescent="0.35">
      <c r="A50" s="29"/>
      <c r="B50" s="107" t="s">
        <v>1120</v>
      </c>
      <c r="C50" s="64" t="s">
        <v>757</v>
      </c>
      <c r="D50" s="64"/>
      <c r="E50" s="64"/>
      <c r="F50" s="129" t="s">
        <v>97</v>
      </c>
      <c r="G50" s="1" t="s">
        <v>149</v>
      </c>
      <c r="H50" s="29"/>
      <c r="I50" s="29"/>
      <c r="J50" s="3"/>
      <c r="K50" s="3"/>
      <c r="L50" s="3"/>
      <c r="M50" s="3">
        <v>1</v>
      </c>
      <c r="N50" s="3"/>
      <c r="O50" s="3"/>
      <c r="P50" s="41"/>
    </row>
    <row r="51" spans="1:19" x14ac:dyDescent="0.35">
      <c r="A51" s="29"/>
      <c r="B51" s="107" t="s">
        <v>278</v>
      </c>
      <c r="C51" s="64" t="s">
        <v>419</v>
      </c>
      <c r="D51" s="64"/>
      <c r="E51" s="64"/>
      <c r="F51" s="129" t="s">
        <v>97</v>
      </c>
      <c r="G51" s="1" t="s">
        <v>149</v>
      </c>
      <c r="H51" s="29"/>
      <c r="I51" s="29"/>
      <c r="J51" s="3"/>
      <c r="K51" s="3"/>
      <c r="L51" s="3">
        <v>1</v>
      </c>
      <c r="M51" s="3">
        <v>1</v>
      </c>
      <c r="N51" s="3"/>
      <c r="O51" s="3"/>
      <c r="P51" s="41"/>
    </row>
    <row r="52" spans="1:19" x14ac:dyDescent="0.35">
      <c r="A52" s="29"/>
      <c r="B52" s="107" t="s">
        <v>1122</v>
      </c>
      <c r="C52" s="64" t="s">
        <v>260</v>
      </c>
      <c r="D52" s="64"/>
      <c r="E52" s="64"/>
      <c r="F52" s="129" t="s">
        <v>96</v>
      </c>
      <c r="G52" s="1" t="s">
        <v>149</v>
      </c>
      <c r="H52" s="29"/>
      <c r="I52" s="29"/>
      <c r="J52" s="3"/>
      <c r="K52" s="3"/>
      <c r="L52" s="3">
        <v>1</v>
      </c>
      <c r="M52" s="3"/>
      <c r="N52" s="3"/>
      <c r="O52" s="3"/>
      <c r="P52" s="41"/>
    </row>
    <row r="53" spans="1:19" x14ac:dyDescent="0.35">
      <c r="A53" s="29"/>
      <c r="B53" s="107"/>
      <c r="C53" s="64"/>
      <c r="D53" s="64"/>
      <c r="E53" s="64"/>
      <c r="F53" s="110"/>
      <c r="G53" s="1"/>
      <c r="H53" s="29"/>
      <c r="I53" s="29"/>
      <c r="J53" s="3"/>
      <c r="K53" s="3"/>
      <c r="L53" s="3"/>
      <c r="M53" s="3"/>
      <c r="N53" s="3"/>
      <c r="O53" s="3"/>
      <c r="P53" s="41"/>
    </row>
    <row r="54" spans="1:19" x14ac:dyDescent="0.35">
      <c r="A54" s="29"/>
      <c r="B54" s="107"/>
      <c r="C54" s="64"/>
      <c r="D54" s="64"/>
      <c r="E54" s="64"/>
      <c r="F54" s="110"/>
      <c r="G54" s="1"/>
      <c r="H54" s="29"/>
      <c r="I54" s="29"/>
      <c r="J54" s="3"/>
      <c r="K54" s="3"/>
      <c r="L54" s="3"/>
      <c r="M54" s="3"/>
      <c r="N54" s="3"/>
      <c r="O54" s="3"/>
      <c r="P54" s="41"/>
    </row>
    <row r="55" spans="1:19" x14ac:dyDescent="0.35">
      <c r="A55" s="29"/>
      <c r="B55" s="107"/>
      <c r="C55" s="64"/>
      <c r="D55" s="64"/>
      <c r="E55" s="64"/>
      <c r="F55" s="110"/>
      <c r="G55" s="1"/>
      <c r="H55" s="29"/>
      <c r="I55" s="29"/>
      <c r="J55" s="3"/>
      <c r="K55" s="3"/>
      <c r="L55" s="3"/>
      <c r="M55" s="3"/>
      <c r="N55" s="3"/>
      <c r="O55" s="3"/>
      <c r="P55" s="41"/>
    </row>
    <row r="56" spans="1:19" x14ac:dyDescent="0.35">
      <c r="A56" s="29"/>
      <c r="B56" s="107"/>
      <c r="C56" s="64"/>
      <c r="D56" s="64"/>
      <c r="E56" s="64"/>
      <c r="F56" s="110"/>
      <c r="G56" s="1"/>
      <c r="H56" s="29"/>
      <c r="I56" s="29"/>
      <c r="J56" s="3"/>
      <c r="K56" s="3"/>
      <c r="L56" s="3"/>
      <c r="M56" s="3"/>
      <c r="N56" s="3"/>
      <c r="O56" s="3"/>
      <c r="P56" s="41"/>
    </row>
    <row r="57" spans="1:19" x14ac:dyDescent="0.35">
      <c r="A57" s="29"/>
      <c r="B57" s="107"/>
      <c r="C57" s="64"/>
      <c r="D57" s="64"/>
      <c r="E57" s="64"/>
      <c r="F57" s="110"/>
      <c r="G57" s="1"/>
      <c r="H57" s="29"/>
      <c r="I57" s="29"/>
      <c r="J57" s="3"/>
      <c r="K57" s="3"/>
      <c r="L57" s="3"/>
      <c r="M57" s="3"/>
      <c r="N57" s="3"/>
      <c r="O57" s="3"/>
      <c r="P57" s="41"/>
    </row>
    <row r="58" spans="1:19" ht="14" customHeight="1" x14ac:dyDescent="0.35">
      <c r="A58" s="45"/>
      <c r="B58" s="113"/>
      <c r="C58" s="64"/>
      <c r="D58" s="64"/>
      <c r="E58" s="64"/>
      <c r="F58" s="110"/>
      <c r="G58" s="1"/>
      <c r="H58" s="29"/>
      <c r="I58" s="29"/>
      <c r="J58" s="3"/>
      <c r="K58" s="3"/>
      <c r="L58" s="3"/>
      <c r="M58" s="3"/>
      <c r="N58" s="3"/>
      <c r="O58" s="3"/>
      <c r="P58" s="41"/>
    </row>
    <row r="59" spans="1:19" x14ac:dyDescent="0.35">
      <c r="A59" s="45"/>
      <c r="B59" s="113"/>
      <c r="C59" s="64"/>
      <c r="D59" s="64"/>
      <c r="E59" s="64"/>
      <c r="F59" s="110"/>
      <c r="G59" s="1"/>
      <c r="H59" s="29"/>
      <c r="I59" s="29"/>
      <c r="J59" s="3"/>
      <c r="K59" s="3"/>
      <c r="L59" s="3"/>
      <c r="M59" s="3"/>
      <c r="N59" s="3"/>
      <c r="O59" s="3"/>
      <c r="P59" s="41"/>
    </row>
    <row r="60" spans="1:19" x14ac:dyDescent="0.35">
      <c r="A60" s="45"/>
      <c r="B60" s="113"/>
      <c r="C60" s="64"/>
      <c r="D60" s="64"/>
      <c r="E60" s="64"/>
      <c r="F60" s="110"/>
      <c r="G60" s="1"/>
      <c r="H60" s="29"/>
      <c r="I60" s="29"/>
      <c r="J60" s="3"/>
      <c r="K60" s="3"/>
      <c r="L60" s="3"/>
      <c r="M60" s="3"/>
      <c r="N60" s="3"/>
      <c r="O60" s="3"/>
      <c r="P60" s="41"/>
    </row>
    <row r="61" spans="1:19" x14ac:dyDescent="0.35">
      <c r="A61" s="45"/>
      <c r="B61" s="113"/>
      <c r="C61" s="64"/>
      <c r="D61" s="64"/>
      <c r="E61" s="64"/>
      <c r="F61" s="110"/>
      <c r="G61" s="1"/>
      <c r="H61" s="29"/>
      <c r="I61" s="29"/>
      <c r="J61" s="3"/>
      <c r="K61" s="3"/>
      <c r="L61" s="3"/>
      <c r="M61" s="3"/>
      <c r="N61" s="3"/>
      <c r="O61" s="3"/>
      <c r="P61" s="41"/>
    </row>
    <row r="62" spans="1:19" x14ac:dyDescent="0.35">
      <c r="A62" s="45"/>
      <c r="B62" s="113"/>
      <c r="C62" s="64"/>
      <c r="D62" s="64"/>
      <c r="E62" s="64"/>
      <c r="F62" s="110"/>
      <c r="G62" s="1"/>
      <c r="H62" s="29"/>
      <c r="I62" s="29"/>
      <c r="J62" s="3"/>
      <c r="K62" s="3"/>
      <c r="L62" s="3"/>
      <c r="M62" s="3"/>
      <c r="N62" s="3"/>
      <c r="O62" s="3"/>
      <c r="P62" s="41"/>
    </row>
    <row r="63" spans="1:19" x14ac:dyDescent="0.35">
      <c r="A63" s="45"/>
      <c r="B63" s="113"/>
      <c r="C63" s="64"/>
      <c r="D63" s="64"/>
      <c r="E63" s="64"/>
      <c r="F63" s="110"/>
      <c r="G63" s="1"/>
      <c r="H63" s="29"/>
      <c r="I63" s="29"/>
      <c r="J63" s="3"/>
      <c r="K63" s="3"/>
      <c r="L63" s="3"/>
      <c r="M63" s="3"/>
      <c r="N63" s="3"/>
      <c r="O63" s="3"/>
      <c r="P63" s="41"/>
    </row>
    <row r="64" spans="1:19" x14ac:dyDescent="0.35">
      <c r="A64" s="45"/>
      <c r="B64" s="113"/>
      <c r="C64" s="64"/>
      <c r="D64" s="64"/>
      <c r="E64" s="64"/>
      <c r="F64" s="110"/>
      <c r="G64" s="1"/>
      <c r="H64" s="29"/>
      <c r="I64" s="29"/>
      <c r="J64" s="3"/>
      <c r="K64" s="3"/>
      <c r="L64" s="3"/>
      <c r="M64" s="3"/>
      <c r="N64" s="3"/>
      <c r="O64" s="3"/>
      <c r="P64" s="41"/>
    </row>
    <row r="65" spans="1:19" x14ac:dyDescent="0.35">
      <c r="A65" s="45"/>
      <c r="B65" s="113"/>
      <c r="C65" s="64"/>
      <c r="D65" s="64"/>
      <c r="E65" s="64"/>
      <c r="F65" s="110"/>
      <c r="G65" s="1"/>
      <c r="H65" s="29"/>
      <c r="I65" s="29"/>
      <c r="J65" s="3"/>
      <c r="K65" s="3"/>
      <c r="L65" s="3"/>
      <c r="M65" s="3"/>
      <c r="N65" s="3"/>
      <c r="O65" s="3"/>
      <c r="P65" s="41"/>
    </row>
    <row r="66" spans="1:19" x14ac:dyDescent="0.35">
      <c r="A66" s="29">
        <v>45</v>
      </c>
      <c r="B66" s="64"/>
      <c r="C66" s="64"/>
      <c r="D66" s="64"/>
      <c r="E66" s="64" t="s">
        <v>430</v>
      </c>
      <c r="F66" s="110"/>
      <c r="G66" s="1"/>
      <c r="H66" s="29">
        <v>1</v>
      </c>
      <c r="I66" s="29"/>
      <c r="J66" s="3"/>
      <c r="K66" s="3"/>
      <c r="L66" s="3"/>
      <c r="M66" s="3"/>
      <c r="N66" s="3"/>
      <c r="O66" s="3"/>
      <c r="P66" s="41"/>
      <c r="S66">
        <v>1</v>
      </c>
    </row>
    <row r="67" spans="1:19" x14ac:dyDescent="0.35">
      <c r="H67" s="32">
        <f>SUM(H3:H66)</f>
        <v>37</v>
      </c>
      <c r="I67" s="32">
        <f t="shared" ref="I67:N67" si="8">SUM(I3:I66)</f>
        <v>34</v>
      </c>
      <c r="J67" s="32">
        <f t="shared" si="8"/>
        <v>24</v>
      </c>
      <c r="K67" s="32">
        <f t="shared" si="8"/>
        <v>27</v>
      </c>
      <c r="L67" s="32">
        <f t="shared" si="8"/>
        <v>30</v>
      </c>
      <c r="M67" s="32">
        <f t="shared" si="8"/>
        <v>33</v>
      </c>
      <c r="N67" s="32">
        <f t="shared" si="8"/>
        <v>0</v>
      </c>
      <c r="S67" s="32">
        <f>SUM(S3:S66)</f>
        <v>23</v>
      </c>
    </row>
    <row r="68" spans="1:19" x14ac:dyDescent="0.35">
      <c r="H68" s="32">
        <v>9</v>
      </c>
      <c r="I68" s="32">
        <v>7</v>
      </c>
      <c r="J68" s="4">
        <v>2</v>
      </c>
      <c r="K68" s="4">
        <v>4</v>
      </c>
      <c r="L68" s="4">
        <v>5</v>
      </c>
      <c r="M68" s="4">
        <v>5</v>
      </c>
    </row>
    <row r="69" spans="1:19" x14ac:dyDescent="0.35">
      <c r="B69" s="1" t="s">
        <v>595</v>
      </c>
      <c r="C69" s="58" t="s">
        <v>96</v>
      </c>
      <c r="D69" s="50"/>
      <c r="E69" s="107">
        <f>COUNTIFS($G$3:$G$52,"Sama / dibawah 35 tahun",$F$3:$F$52,"Laki-laki")</f>
        <v>0</v>
      </c>
    </row>
    <row r="70" spans="1:19" ht="43.5" x14ac:dyDescent="0.35">
      <c r="B70" s="58"/>
      <c r="C70" s="58" t="s">
        <v>97</v>
      </c>
      <c r="D70" s="50"/>
      <c r="E70" s="107">
        <f>COUNTIFS($G$3:$G$52,"Sama / dibawah 35 tahun",$F$3:$F$52,"Perempuan")</f>
        <v>1</v>
      </c>
      <c r="O70" s="42" t="s">
        <v>31</v>
      </c>
      <c r="P70" s="19">
        <f>COUNTIF(P3:P30,"&gt;=80%")</f>
        <v>17</v>
      </c>
    </row>
    <row r="71" spans="1:19" ht="43.5" x14ac:dyDescent="0.35">
      <c r="B71" s="1" t="s">
        <v>149</v>
      </c>
      <c r="C71" s="58" t="s">
        <v>96</v>
      </c>
      <c r="D71" s="50"/>
      <c r="E71" s="107">
        <f>COUNTIFS($G$3:$G$52,"Diatas 35 tahun",$F$3:$F$52,"Laki-laki")</f>
        <v>39</v>
      </c>
      <c r="O71" s="42" t="s">
        <v>51</v>
      </c>
      <c r="P71" s="19">
        <f>COUNTIF(P3:P31,"&gt;=50%")</f>
        <v>24</v>
      </c>
    </row>
    <row r="72" spans="1:19" ht="58" x14ac:dyDescent="0.35">
      <c r="B72"/>
      <c r="C72" s="58" t="s">
        <v>97</v>
      </c>
      <c r="D72" s="50"/>
      <c r="E72" s="107">
        <f>COUNTIFS($G$3:$G$52,"Diatas 35 tahun",$F$3:$F$52,"Perempuan")</f>
        <v>10</v>
      </c>
      <c r="O72" s="42" t="s">
        <v>52</v>
      </c>
      <c r="P72" s="19">
        <f>COUNTIF(O3:O30,"&gt;=4")</f>
        <v>22</v>
      </c>
    </row>
    <row r="73" spans="1:19" ht="60" x14ac:dyDescent="0.55000000000000004">
      <c r="B73"/>
      <c r="C73" s="106" t="s">
        <v>184</v>
      </c>
      <c r="D73" s="130"/>
      <c r="E73">
        <f>SUM(E69:E72)</f>
        <v>50</v>
      </c>
      <c r="O73" s="42" t="s">
        <v>53</v>
      </c>
      <c r="P73" s="19">
        <f>COUNTIF(O3:O31,"&gt;=3")</f>
        <v>24</v>
      </c>
    </row>
  </sheetData>
  <autoFilter ref="A2:V67" xr:uid="{688F522B-E068-4CF2-B7DE-861649572824}">
    <sortState xmlns:xlrd2="http://schemas.microsoft.com/office/spreadsheetml/2017/richdata2" ref="A4:V34">
      <sortCondition ref="B2:B34"/>
    </sortState>
  </autoFilter>
  <mergeCells count="8">
    <mergeCell ref="Q1:Q2"/>
    <mergeCell ref="R1:R2"/>
    <mergeCell ref="A1:A2"/>
    <mergeCell ref="B1:B2"/>
    <mergeCell ref="E1:E2"/>
    <mergeCell ref="F1:F2"/>
    <mergeCell ref="G1:G2"/>
    <mergeCell ref="H1:O1"/>
  </mergeCells>
  <conditionalFormatting sqref="A3:P66">
    <cfRule type="expression" dxfId="60" priority="14">
      <formula>MOD(ROW(),2)=0</formula>
    </cfRule>
  </conditionalFormatting>
  <conditionalFormatting sqref="B69">
    <cfRule type="expression" dxfId="59" priority="7">
      <formula>MOD(ROW(),2)=0</formula>
    </cfRule>
    <cfRule type="expression" dxfId="58" priority="8">
      <formula>MOD(ROW(),2)=0</formula>
    </cfRule>
    <cfRule type="expression" dxfId="57" priority="9">
      <formula>MOD(ROW(),2)=0</formula>
    </cfRule>
    <cfRule type="expression" dxfId="56" priority="10">
      <formula>MOD(ROW(),2)=0</formula>
    </cfRule>
    <cfRule type="expression" priority="12">
      <formula>MOD(ROW(),2)=0</formula>
    </cfRule>
  </conditionalFormatting>
  <conditionalFormatting sqref="B69:B70 G3:G48 H4:I48 O4:P66 A7:A66 F45:F48">
    <cfRule type="expression" dxfId="55" priority="11">
      <formula>MOD(ROW(),2)=0</formula>
    </cfRule>
  </conditionalFormatting>
  <conditionalFormatting sqref="B71">
    <cfRule type="expression" dxfId="54" priority="2">
      <formula>MOD(ROW(),2)=0</formula>
    </cfRule>
    <cfRule type="expression" dxfId="53" priority="3">
      <formula>MOD(ROW(),2)=0</formula>
    </cfRule>
    <cfRule type="expression" dxfId="52" priority="4">
      <formula>MOD(ROW(),2)=0</formula>
    </cfRule>
    <cfRule type="expression" dxfId="51" priority="5">
      <formula>MOD(ROW(),2)=0</formula>
    </cfRule>
    <cfRule type="expression" priority="6">
      <formula>MOD(ROW(),2)=0</formula>
    </cfRule>
  </conditionalFormatting>
  <conditionalFormatting sqref="C69:D73">
    <cfRule type="expression" dxfId="50" priority="13">
      <formula>MOD(ROW(),2)=0</formula>
    </cfRule>
  </conditionalFormatting>
  <conditionalFormatting sqref="E6:E14">
    <cfRule type="expression" dxfId="49" priority="20">
      <formula>MOD(ROW(),2)=0</formula>
    </cfRule>
  </conditionalFormatting>
  <conditionalFormatting sqref="F58:F65">
    <cfRule type="expression" dxfId="48" priority="1">
      <formula>MOD(ROW(),2)=0</formula>
    </cfRule>
  </conditionalFormatting>
  <conditionalFormatting sqref="G44:I44 G49:I66 A1:P2">
    <cfRule type="expression" dxfId="47" priority="17">
      <formula>MOD(ROW(),2)=0</formula>
    </cfRule>
  </conditionalFormatting>
  <conditionalFormatting sqref="H3:P3 A3:F30 J4:N31 B31:F31">
    <cfRule type="expression" dxfId="46" priority="18">
      <formula>MOD(ROW(),2)=0</formula>
    </cfRule>
  </conditionalFormatting>
  <pageMargins left="0.7" right="0.7" top="0.75" bottom="0.75" header="0.3" footer="0.3"/>
  <pageSetup paperSize="9" orientation="landscape" horizontalDpi="4294967293" verticalDpi="3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76189AA-E790-4BD1-907D-3D4DC80B1A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Jotangan!H32:N32</xm:f>
              <xm:sqref>Q32</xm:sqref>
            </x14:sparkline>
          </x14:sparklines>
        </x14:sparklineGroup>
        <x14:sparklineGroup displayEmptyCellsAs="gap" xr2:uid="{7821F502-D3DC-498F-B181-47EA7C3242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Jotangan!H3:N3</xm:f>
              <xm:sqref>Q3</xm:sqref>
            </x14:sparkline>
            <x14:sparkline>
              <xm:f>Jotangan!H4:N4</xm:f>
              <xm:sqref>Q4</xm:sqref>
            </x14:sparkline>
            <x14:sparkline>
              <xm:f>Jotangan!H5:N5</xm:f>
              <xm:sqref>Q5</xm:sqref>
            </x14:sparkline>
            <x14:sparkline>
              <xm:f>Jotangan!H6:N6</xm:f>
              <xm:sqref>Q6</xm:sqref>
            </x14:sparkline>
            <x14:sparkline>
              <xm:f>Jotangan!H7:N7</xm:f>
              <xm:sqref>Q7</xm:sqref>
            </x14:sparkline>
            <x14:sparkline>
              <xm:f>Jotangan!H8:N8</xm:f>
              <xm:sqref>Q8</xm:sqref>
            </x14:sparkline>
            <x14:sparkline>
              <xm:f>Jotangan!H9:N9</xm:f>
              <xm:sqref>Q9</xm:sqref>
            </x14:sparkline>
            <x14:sparkline>
              <xm:f>Jotangan!H10:N10</xm:f>
              <xm:sqref>Q10</xm:sqref>
            </x14:sparkline>
            <x14:sparkline>
              <xm:f>Jotangan!H11:N11</xm:f>
              <xm:sqref>Q11</xm:sqref>
            </x14:sparkline>
            <x14:sparkline>
              <xm:f>Jotangan!H12:N12</xm:f>
              <xm:sqref>Q12</xm:sqref>
            </x14:sparkline>
            <x14:sparkline>
              <xm:f>Jotangan!H13:N13</xm:f>
              <xm:sqref>Q13</xm:sqref>
            </x14:sparkline>
            <x14:sparkline>
              <xm:f>Jotangan!H14:N14</xm:f>
              <xm:sqref>Q14</xm:sqref>
            </x14:sparkline>
            <x14:sparkline>
              <xm:f>Jotangan!H15:N15</xm:f>
              <xm:sqref>Q15</xm:sqref>
            </x14:sparkline>
            <x14:sparkline>
              <xm:f>Jotangan!H16:N16</xm:f>
              <xm:sqref>Q16</xm:sqref>
            </x14:sparkline>
            <x14:sparkline>
              <xm:f>Jotangan!H17:N17</xm:f>
              <xm:sqref>Q17</xm:sqref>
            </x14:sparkline>
            <x14:sparkline>
              <xm:f>Jotangan!H18:N18</xm:f>
              <xm:sqref>Q18</xm:sqref>
            </x14:sparkline>
            <x14:sparkline>
              <xm:f>Jotangan!H19:N19</xm:f>
              <xm:sqref>Q19</xm:sqref>
            </x14:sparkline>
            <x14:sparkline>
              <xm:f>Jotangan!H20:N20</xm:f>
              <xm:sqref>Q20</xm:sqref>
            </x14:sparkline>
            <x14:sparkline>
              <xm:f>Jotangan!H21:N21</xm:f>
              <xm:sqref>Q21</xm:sqref>
            </x14:sparkline>
            <x14:sparkline>
              <xm:f>Jotangan!H22:N22</xm:f>
              <xm:sqref>Q22</xm:sqref>
            </x14:sparkline>
            <x14:sparkline>
              <xm:f>Jotangan!H23:N23</xm:f>
              <xm:sqref>Q23</xm:sqref>
            </x14:sparkline>
            <x14:sparkline>
              <xm:f>Jotangan!H24:N24</xm:f>
              <xm:sqref>Q24</xm:sqref>
            </x14:sparkline>
            <x14:sparkline>
              <xm:f>Jotangan!H25:N25</xm:f>
              <xm:sqref>Q25</xm:sqref>
            </x14:sparkline>
            <x14:sparkline>
              <xm:f>Jotangan!H26:N26</xm:f>
              <xm:sqref>Q26</xm:sqref>
            </x14:sparkline>
            <x14:sparkline>
              <xm:f>Jotangan!H27:N27</xm:f>
              <xm:sqref>Q27</xm:sqref>
            </x14:sparkline>
            <x14:sparkline>
              <xm:f>Jotangan!H28:N28</xm:f>
              <xm:sqref>Q28</xm:sqref>
            </x14:sparkline>
            <x14:sparkline>
              <xm:f>Jotangan!H29:N29</xm:f>
              <xm:sqref>Q29</xm:sqref>
            </x14:sparkline>
            <x14:sparkline>
              <xm:f>Jotangan!H30:N30</xm:f>
              <xm:sqref>Q30</xm:sqref>
            </x14:sparkline>
          </x14:sparklines>
        </x14:sparklineGroup>
      </x14:sparklineGroup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522B-E068-4CF2-B7DE-861649572824}">
  <sheetPr>
    <tabColor rgb="FF92D050"/>
  </sheetPr>
  <dimension ref="A1:T55"/>
  <sheetViews>
    <sheetView topLeftCell="B1" zoomScale="70" zoomScaleNormal="70" zoomScaleSheetLayoutView="100" workbookViewId="0">
      <pane ySplit="2" topLeftCell="A3" activePane="bottomLeft" state="frozen"/>
      <selection pane="bottomLeft" activeCell="K2" sqref="K2"/>
    </sheetView>
  </sheetViews>
  <sheetFormatPr defaultRowHeight="14.5" x14ac:dyDescent="0.35"/>
  <cols>
    <col min="1" max="1" width="8.7265625" style="32"/>
    <col min="2" max="2" width="17" style="31" customWidth="1"/>
    <col min="3" max="3" width="25.54296875" style="31" customWidth="1"/>
    <col min="4" max="4" width="14.453125" style="31" bestFit="1" customWidth="1"/>
    <col min="5" max="5" width="15.453125" style="31" customWidth="1"/>
    <col min="6" max="6" width="9.26953125" style="31" customWidth="1"/>
    <col min="7" max="7" width="12.453125" style="31" customWidth="1"/>
    <col min="8" max="8" width="10.453125" style="32" customWidth="1"/>
    <col min="9" max="9" width="10" style="4" customWidth="1"/>
    <col min="10" max="10" width="11.08984375" style="4" customWidth="1"/>
    <col min="11" max="11" width="9.7265625" style="4" customWidth="1"/>
    <col min="12" max="12" width="8.7265625" style="4" customWidth="1"/>
    <col min="13" max="14" width="14.81640625" style="4" customWidth="1"/>
    <col min="15" max="15" width="20.1796875" customWidth="1"/>
    <col min="16" max="16" width="11.81640625" customWidth="1"/>
  </cols>
  <sheetData>
    <row r="1" spans="1:20" x14ac:dyDescent="0.35">
      <c r="A1" s="134" t="s">
        <v>49</v>
      </c>
      <c r="B1" s="134" t="s">
        <v>13</v>
      </c>
      <c r="C1" s="13"/>
      <c r="D1" s="13"/>
      <c r="E1" s="134" t="s">
        <v>16</v>
      </c>
      <c r="F1" s="134" t="s">
        <v>18</v>
      </c>
      <c r="G1" s="134" t="s">
        <v>19</v>
      </c>
      <c r="H1" s="135" t="s">
        <v>20</v>
      </c>
      <c r="I1" s="135"/>
      <c r="J1" s="135"/>
      <c r="K1" s="135"/>
      <c r="L1" s="135"/>
      <c r="M1" s="135"/>
      <c r="N1" s="6"/>
      <c r="O1" s="133" t="s">
        <v>21</v>
      </c>
      <c r="P1" s="133" t="s">
        <v>22</v>
      </c>
    </row>
    <row r="2" spans="1:20" ht="29" x14ac:dyDescent="0.35">
      <c r="A2" s="134"/>
      <c r="B2" s="134"/>
      <c r="C2" s="13" t="s">
        <v>50</v>
      </c>
      <c r="D2" s="13" t="s">
        <v>489</v>
      </c>
      <c r="E2" s="134"/>
      <c r="F2" s="134"/>
      <c r="G2" s="134"/>
      <c r="H2" s="7">
        <v>46269</v>
      </c>
      <c r="I2" s="7">
        <v>45917</v>
      </c>
      <c r="J2" s="7" t="s">
        <v>1130</v>
      </c>
      <c r="K2" s="7"/>
      <c r="L2" s="8"/>
      <c r="M2" s="9" t="s">
        <v>23</v>
      </c>
      <c r="N2" s="9" t="s">
        <v>24</v>
      </c>
      <c r="O2" s="133"/>
      <c r="P2" s="133"/>
      <c r="S2" t="s">
        <v>25</v>
      </c>
    </row>
    <row r="3" spans="1:20" ht="16" x14ac:dyDescent="0.4">
      <c r="A3" s="29">
        <v>1</v>
      </c>
      <c r="B3" t="s">
        <v>997</v>
      </c>
      <c r="C3" s="125" t="s">
        <v>998</v>
      </c>
      <c r="D3" s="125"/>
      <c r="E3" s="30"/>
      <c r="F3" s="126" t="s">
        <v>96</v>
      </c>
      <c r="G3" s="1" t="s">
        <v>149</v>
      </c>
      <c r="H3" s="29">
        <v>1</v>
      </c>
      <c r="I3"/>
      <c r="J3"/>
      <c r="K3" s="3"/>
      <c r="L3" s="3"/>
      <c r="M3" s="3">
        <f>SUM(H3:L3)</f>
        <v>1</v>
      </c>
      <c r="N3" s="41">
        <f t="shared" ref="N3:N31" si="0">SUM(H3:L3)/5</f>
        <v>0.2</v>
      </c>
      <c r="O3" s="1"/>
      <c r="P3" s="10" t="str">
        <f>REPT("||||||",M3)</f>
        <v>||||||</v>
      </c>
      <c r="S3">
        <v>1</v>
      </c>
      <c r="T3" t="s">
        <v>26</v>
      </c>
    </row>
    <row r="4" spans="1:20" ht="16" x14ac:dyDescent="0.4">
      <c r="A4" s="29">
        <v>2</v>
      </c>
      <c r="B4" t="s">
        <v>236</v>
      </c>
      <c r="C4" s="125" t="s">
        <v>998</v>
      </c>
      <c r="D4" s="125"/>
      <c r="E4" s="30"/>
      <c r="F4" s="126" t="s">
        <v>96</v>
      </c>
      <c r="G4" s="1" t="s">
        <v>149</v>
      </c>
      <c r="H4" s="29">
        <v>1</v>
      </c>
      <c r="I4">
        <v>1</v>
      </c>
      <c r="J4">
        <v>1</v>
      </c>
      <c r="K4" s="3"/>
      <c r="L4" s="3"/>
      <c r="M4" s="3"/>
      <c r="N4" s="41">
        <f t="shared" si="0"/>
        <v>0.6</v>
      </c>
      <c r="O4" s="1"/>
      <c r="P4" s="10"/>
    </row>
    <row r="5" spans="1:20" ht="16" x14ac:dyDescent="0.4">
      <c r="A5" s="29">
        <v>3</v>
      </c>
      <c r="B5" t="s">
        <v>790</v>
      </c>
      <c r="C5" s="125" t="s">
        <v>998</v>
      </c>
      <c r="D5" s="125"/>
      <c r="E5" s="30"/>
      <c r="F5" s="126" t="s">
        <v>96</v>
      </c>
      <c r="G5" s="1" t="s">
        <v>149</v>
      </c>
      <c r="H5" s="29">
        <v>1</v>
      </c>
      <c r="I5">
        <v>1</v>
      </c>
      <c r="J5">
        <v>1</v>
      </c>
      <c r="K5" s="3"/>
      <c r="L5" s="3"/>
      <c r="M5" s="3">
        <f t="shared" ref="M5:M10" si="1">SUM(H5:L5)</f>
        <v>3</v>
      </c>
      <c r="N5" s="41">
        <f t="shared" si="0"/>
        <v>0.6</v>
      </c>
      <c r="O5" s="1"/>
      <c r="P5" s="10" t="str">
        <f t="shared" ref="P5:P10" si="2">REPT("||||||",M5)</f>
        <v>||||||||||||||||||</v>
      </c>
      <c r="S5">
        <v>0</v>
      </c>
      <c r="T5" t="s">
        <v>27</v>
      </c>
    </row>
    <row r="6" spans="1:20" s="23" customFormat="1" ht="16" x14ac:dyDescent="0.4">
      <c r="A6" s="45">
        <v>4</v>
      </c>
      <c r="B6" t="s">
        <v>792</v>
      </c>
      <c r="C6" s="125" t="s">
        <v>998</v>
      </c>
      <c r="D6" s="125"/>
      <c r="E6" s="46"/>
      <c r="F6" s="46" t="s">
        <v>96</v>
      </c>
      <c r="G6" s="1" t="s">
        <v>149</v>
      </c>
      <c r="H6" s="29">
        <v>1</v>
      </c>
      <c r="I6">
        <v>1</v>
      </c>
      <c r="J6">
        <v>1</v>
      </c>
      <c r="K6" s="21"/>
      <c r="L6" s="21"/>
      <c r="M6" s="21">
        <f t="shared" si="1"/>
        <v>3</v>
      </c>
      <c r="N6" s="44">
        <f t="shared" si="0"/>
        <v>0.6</v>
      </c>
      <c r="O6" s="22"/>
      <c r="P6" s="24" t="str">
        <f t="shared" si="2"/>
        <v>||||||||||||||||||</v>
      </c>
      <c r="T6" s="47"/>
    </row>
    <row r="7" spans="1:20" ht="26" x14ac:dyDescent="0.4">
      <c r="A7" s="29">
        <v>5</v>
      </c>
      <c r="B7" t="s">
        <v>517</v>
      </c>
      <c r="C7" s="125" t="s">
        <v>999</v>
      </c>
      <c r="D7" s="125"/>
      <c r="E7" s="30"/>
      <c r="F7" s="126" t="s">
        <v>96</v>
      </c>
      <c r="G7" s="1" t="s">
        <v>149</v>
      </c>
      <c r="H7" s="29">
        <v>1</v>
      </c>
      <c r="I7">
        <v>1</v>
      </c>
      <c r="J7">
        <v>1</v>
      </c>
      <c r="K7" s="3"/>
      <c r="L7" s="3"/>
      <c r="M7" s="3">
        <f t="shared" si="1"/>
        <v>3</v>
      </c>
      <c r="N7" s="41">
        <f t="shared" si="0"/>
        <v>0.6</v>
      </c>
      <c r="O7" s="1"/>
      <c r="P7" s="10" t="str">
        <f t="shared" si="2"/>
        <v>||||||||||||||||||</v>
      </c>
      <c r="T7" s="35" t="s">
        <v>32</v>
      </c>
    </row>
    <row r="8" spans="1:20" ht="26" x14ac:dyDescent="0.4">
      <c r="A8" s="29">
        <v>6</v>
      </c>
      <c r="B8" t="s">
        <v>791</v>
      </c>
      <c r="C8" s="125" t="s">
        <v>999</v>
      </c>
      <c r="D8" s="125"/>
      <c r="E8" s="30"/>
      <c r="F8" s="126" t="s">
        <v>96</v>
      </c>
      <c r="G8" s="1" t="s">
        <v>149</v>
      </c>
      <c r="H8" s="29">
        <v>1</v>
      </c>
      <c r="I8">
        <v>1</v>
      </c>
      <c r="J8">
        <v>1</v>
      </c>
      <c r="K8" s="3"/>
      <c r="L8" s="3"/>
      <c r="M8" s="3">
        <f t="shared" si="1"/>
        <v>3</v>
      </c>
      <c r="N8" s="41">
        <f t="shared" si="0"/>
        <v>0.6</v>
      </c>
      <c r="O8" s="1"/>
      <c r="P8" s="10" t="str">
        <f t="shared" si="2"/>
        <v>||||||||||||||||||</v>
      </c>
      <c r="T8" s="35" t="s">
        <v>33</v>
      </c>
    </row>
    <row r="9" spans="1:20" ht="26" x14ac:dyDescent="0.4">
      <c r="A9" s="29">
        <v>7</v>
      </c>
      <c r="B9" t="s">
        <v>1000</v>
      </c>
      <c r="C9" s="125" t="s">
        <v>1001</v>
      </c>
      <c r="D9" s="125"/>
      <c r="E9" s="30"/>
      <c r="F9" s="126" t="s">
        <v>96</v>
      </c>
      <c r="G9" s="1" t="s">
        <v>149</v>
      </c>
      <c r="H9" s="29">
        <v>1</v>
      </c>
      <c r="I9"/>
      <c r="J9"/>
      <c r="K9" s="3"/>
      <c r="L9" s="3"/>
      <c r="M9" s="3">
        <f t="shared" si="1"/>
        <v>1</v>
      </c>
      <c r="N9" s="41">
        <f t="shared" si="0"/>
        <v>0.2</v>
      </c>
      <c r="O9" s="1"/>
      <c r="P9" s="10" t="str">
        <f t="shared" si="2"/>
        <v>||||||</v>
      </c>
      <c r="T9" s="35" t="s">
        <v>34</v>
      </c>
    </row>
    <row r="10" spans="1:20" ht="26" x14ac:dyDescent="0.4">
      <c r="A10" s="45">
        <v>8</v>
      </c>
      <c r="B10" t="s">
        <v>786</v>
      </c>
      <c r="C10" s="125" t="s">
        <v>89</v>
      </c>
      <c r="D10" s="125"/>
      <c r="E10" s="30"/>
      <c r="F10" s="126" t="s">
        <v>97</v>
      </c>
      <c r="G10" s="1" t="s">
        <v>149</v>
      </c>
      <c r="H10" s="29">
        <v>1</v>
      </c>
      <c r="I10">
        <v>1</v>
      </c>
      <c r="J10">
        <v>1</v>
      </c>
      <c r="K10" s="3"/>
      <c r="L10" s="3"/>
      <c r="M10" s="3">
        <f t="shared" si="1"/>
        <v>3</v>
      </c>
      <c r="N10" s="41">
        <f t="shared" si="0"/>
        <v>0.6</v>
      </c>
      <c r="O10" s="1"/>
      <c r="P10" s="10" t="str">
        <f t="shared" si="2"/>
        <v>||||||||||||||||||</v>
      </c>
      <c r="T10" s="34" t="s">
        <v>36</v>
      </c>
    </row>
    <row r="11" spans="1:20" ht="16" x14ac:dyDescent="0.4">
      <c r="A11" s="29">
        <v>9</v>
      </c>
      <c r="B11" t="s">
        <v>794</v>
      </c>
      <c r="C11" s="125" t="s">
        <v>89</v>
      </c>
      <c r="D11" s="125"/>
      <c r="E11" s="30"/>
      <c r="F11" s="126" t="s">
        <v>96</v>
      </c>
      <c r="G11" s="1" t="s">
        <v>149</v>
      </c>
      <c r="H11" s="29">
        <v>1</v>
      </c>
      <c r="I11"/>
      <c r="J11">
        <v>1</v>
      </c>
      <c r="K11" s="3"/>
      <c r="L11" s="3"/>
      <c r="M11" s="3"/>
      <c r="N11" s="41">
        <f t="shared" si="0"/>
        <v>0.4</v>
      </c>
      <c r="O11" s="1"/>
      <c r="P11" s="10"/>
    </row>
    <row r="12" spans="1:20" ht="16" x14ac:dyDescent="0.4">
      <c r="A12" s="29">
        <v>10</v>
      </c>
      <c r="B12" t="s">
        <v>113</v>
      </c>
      <c r="C12" s="125" t="s">
        <v>89</v>
      </c>
      <c r="D12" s="125"/>
      <c r="E12" s="30"/>
      <c r="F12" s="126" t="s">
        <v>97</v>
      </c>
      <c r="G12" s="1" t="s">
        <v>149</v>
      </c>
      <c r="H12" s="29">
        <v>1</v>
      </c>
      <c r="I12">
        <v>1</v>
      </c>
      <c r="J12">
        <v>1</v>
      </c>
      <c r="K12" s="3"/>
      <c r="L12" s="3"/>
      <c r="M12" s="3"/>
      <c r="N12" s="41">
        <f t="shared" si="0"/>
        <v>0.6</v>
      </c>
      <c r="O12" s="1"/>
      <c r="P12" s="10"/>
    </row>
    <row r="13" spans="1:20" ht="16" x14ac:dyDescent="0.4">
      <c r="A13" s="29">
        <v>11</v>
      </c>
      <c r="B13" t="s">
        <v>1002</v>
      </c>
      <c r="C13" s="125" t="s">
        <v>89</v>
      </c>
      <c r="D13" s="125"/>
      <c r="E13" s="30"/>
      <c r="F13" s="126" t="s">
        <v>97</v>
      </c>
      <c r="G13" s="1" t="s">
        <v>149</v>
      </c>
      <c r="H13" s="29">
        <v>1</v>
      </c>
      <c r="I13"/>
      <c r="J13"/>
      <c r="K13" s="3"/>
      <c r="L13" s="3"/>
      <c r="M13" s="3">
        <f>SUM(H13:L13)</f>
        <v>1</v>
      </c>
      <c r="N13" s="41">
        <f t="shared" si="0"/>
        <v>0.2</v>
      </c>
      <c r="O13" s="1"/>
      <c r="P13" s="10" t="str">
        <f>REPT("||||||",M13)</f>
        <v>||||||</v>
      </c>
    </row>
    <row r="14" spans="1:20" ht="16" x14ac:dyDescent="0.4">
      <c r="A14" s="45">
        <v>12</v>
      </c>
      <c r="B14" t="s">
        <v>1003</v>
      </c>
      <c r="C14" s="125" t="s">
        <v>401</v>
      </c>
      <c r="D14" s="125"/>
      <c r="E14" s="30"/>
      <c r="F14" s="126" t="s">
        <v>96</v>
      </c>
      <c r="G14" s="1" t="s">
        <v>149</v>
      </c>
      <c r="H14" s="29">
        <v>1</v>
      </c>
      <c r="I14"/>
      <c r="J14"/>
      <c r="K14" s="3"/>
      <c r="L14" s="3"/>
      <c r="M14" s="3">
        <f>SUM(H14:L14)</f>
        <v>1</v>
      </c>
      <c r="N14" s="41">
        <f t="shared" si="0"/>
        <v>0.2</v>
      </c>
      <c r="O14" s="1"/>
      <c r="P14" s="10" t="str">
        <f>REPT("||||||",M14)</f>
        <v>||||||</v>
      </c>
    </row>
    <row r="15" spans="1:20" s="23" customFormat="1" ht="16" x14ac:dyDescent="0.4">
      <c r="A15" s="29">
        <v>13</v>
      </c>
      <c r="B15" t="s">
        <v>1004</v>
      </c>
      <c r="C15" s="125" t="s">
        <v>401</v>
      </c>
      <c r="D15" s="125"/>
      <c r="E15" s="46"/>
      <c r="F15" s="46" t="s">
        <v>96</v>
      </c>
      <c r="G15" s="1" t="s">
        <v>149</v>
      </c>
      <c r="H15" s="29">
        <v>1</v>
      </c>
      <c r="I15"/>
      <c r="J15">
        <v>1</v>
      </c>
      <c r="K15" s="21"/>
      <c r="L15" s="21"/>
      <c r="M15" s="21">
        <f>SUM(H15:L15)</f>
        <v>2</v>
      </c>
      <c r="N15" s="44">
        <f t="shared" si="0"/>
        <v>0.4</v>
      </c>
      <c r="O15" s="22"/>
      <c r="P15" s="24" t="str">
        <f>REPT("||||||",M15)</f>
        <v>||||||||||||</v>
      </c>
    </row>
    <row r="16" spans="1:20" ht="16" x14ac:dyDescent="0.4">
      <c r="A16" s="29">
        <v>14</v>
      </c>
      <c r="B16" t="s">
        <v>1005</v>
      </c>
      <c r="C16" s="125" t="s">
        <v>401</v>
      </c>
      <c r="D16" s="125"/>
      <c r="E16" s="30"/>
      <c r="F16" s="126" t="s">
        <v>96</v>
      </c>
      <c r="G16" s="1" t="s">
        <v>149</v>
      </c>
      <c r="H16" s="29">
        <v>1</v>
      </c>
      <c r="I16">
        <v>1</v>
      </c>
      <c r="J16">
        <v>1</v>
      </c>
      <c r="K16" s="3"/>
      <c r="L16" s="3"/>
      <c r="M16" s="3">
        <f>SUM(H16:L16)</f>
        <v>3</v>
      </c>
      <c r="N16" s="41">
        <f t="shared" si="0"/>
        <v>0.6</v>
      </c>
      <c r="O16" s="1"/>
      <c r="P16" s="10" t="str">
        <f>REPT("||||||",M16)</f>
        <v>||||||||||||||||||</v>
      </c>
    </row>
    <row r="17" spans="1:16" s="23" customFormat="1" ht="16" x14ac:dyDescent="0.4">
      <c r="A17" s="29">
        <v>15</v>
      </c>
      <c r="B17" t="s">
        <v>1006</v>
      </c>
      <c r="C17" s="125" t="s">
        <v>998</v>
      </c>
      <c r="D17" s="125"/>
      <c r="E17" s="46"/>
      <c r="F17" s="46" t="s">
        <v>96</v>
      </c>
      <c r="G17" s="1" t="s">
        <v>149</v>
      </c>
      <c r="H17" s="29">
        <v>1</v>
      </c>
      <c r="I17">
        <v>1</v>
      </c>
      <c r="J17">
        <v>1</v>
      </c>
      <c r="K17" s="21"/>
      <c r="L17" s="21"/>
      <c r="M17" s="21"/>
      <c r="N17" s="44">
        <f t="shared" si="0"/>
        <v>0.6</v>
      </c>
      <c r="O17" s="22"/>
      <c r="P17" s="24"/>
    </row>
    <row r="18" spans="1:16" ht="16" x14ac:dyDescent="0.4">
      <c r="A18" s="45">
        <v>16</v>
      </c>
      <c r="B18" t="s">
        <v>1007</v>
      </c>
      <c r="C18" s="125" t="s">
        <v>1008</v>
      </c>
      <c r="D18" s="125"/>
      <c r="E18" s="30"/>
      <c r="F18" s="126" t="s">
        <v>97</v>
      </c>
      <c r="G18" s="1" t="s">
        <v>149</v>
      </c>
      <c r="H18" s="29">
        <v>1</v>
      </c>
      <c r="I18"/>
      <c r="J18"/>
      <c r="K18" s="3"/>
      <c r="L18" s="3"/>
      <c r="M18" s="3">
        <f t="shared" ref="M18:M29" si="3">SUM(H18:L18)</f>
        <v>1</v>
      </c>
      <c r="N18" s="41">
        <f t="shared" si="0"/>
        <v>0.2</v>
      </c>
      <c r="O18" s="1"/>
      <c r="P18" s="10" t="str">
        <f t="shared" ref="P18:P29" si="4">REPT("||||||",M18)</f>
        <v>||||||</v>
      </c>
    </row>
    <row r="19" spans="1:16" ht="16" x14ac:dyDescent="0.4">
      <c r="A19" s="29">
        <v>17</v>
      </c>
      <c r="B19" t="s">
        <v>1009</v>
      </c>
      <c r="C19" s="125" t="s">
        <v>1010</v>
      </c>
      <c r="D19" s="125"/>
      <c r="E19" s="30"/>
      <c r="F19" s="126" t="s">
        <v>97</v>
      </c>
      <c r="G19" s="1" t="s">
        <v>149</v>
      </c>
      <c r="H19" s="29">
        <v>1</v>
      </c>
      <c r="I19"/>
      <c r="J19"/>
      <c r="K19" s="3"/>
      <c r="L19" s="3"/>
      <c r="M19" s="3">
        <f t="shared" si="3"/>
        <v>1</v>
      </c>
      <c r="N19" s="41">
        <f t="shared" si="0"/>
        <v>0.2</v>
      </c>
      <c r="O19" s="1"/>
      <c r="P19" s="10" t="str">
        <f t="shared" si="4"/>
        <v>||||||</v>
      </c>
    </row>
    <row r="20" spans="1:16" ht="16" x14ac:dyDescent="0.4">
      <c r="A20" s="29">
        <v>18</v>
      </c>
      <c r="B20" t="s">
        <v>789</v>
      </c>
      <c r="C20" s="125" t="s">
        <v>1010</v>
      </c>
      <c r="D20" s="125"/>
      <c r="E20" s="30"/>
      <c r="F20" s="126" t="s">
        <v>97</v>
      </c>
      <c r="G20" s="1" t="s">
        <v>149</v>
      </c>
      <c r="H20" s="29">
        <v>1</v>
      </c>
      <c r="I20"/>
      <c r="J20"/>
      <c r="K20" s="3"/>
      <c r="L20" s="3"/>
      <c r="M20" s="3">
        <f t="shared" si="3"/>
        <v>1</v>
      </c>
      <c r="N20" s="41">
        <f t="shared" si="0"/>
        <v>0.2</v>
      </c>
      <c r="O20" s="1"/>
      <c r="P20" s="10" t="str">
        <f t="shared" si="4"/>
        <v>||||||</v>
      </c>
    </row>
    <row r="21" spans="1:16" ht="16" x14ac:dyDescent="0.4">
      <c r="A21" s="29">
        <v>19</v>
      </c>
      <c r="B21" t="s">
        <v>1011</v>
      </c>
      <c r="C21" s="125" t="s">
        <v>1012</v>
      </c>
      <c r="D21" s="125"/>
      <c r="E21" s="30"/>
      <c r="F21" s="126" t="s">
        <v>97</v>
      </c>
      <c r="G21" s="1" t="s">
        <v>149</v>
      </c>
      <c r="H21" s="29">
        <v>1</v>
      </c>
      <c r="I21">
        <v>1</v>
      </c>
      <c r="J21">
        <v>1</v>
      </c>
      <c r="K21" s="3"/>
      <c r="L21" s="3"/>
      <c r="M21" s="3">
        <f t="shared" si="3"/>
        <v>3</v>
      </c>
      <c r="N21" s="41">
        <f t="shared" si="0"/>
        <v>0.6</v>
      </c>
      <c r="O21" s="1"/>
      <c r="P21" s="10" t="str">
        <f t="shared" si="4"/>
        <v>||||||||||||||||||</v>
      </c>
    </row>
    <row r="22" spans="1:16" ht="16" x14ac:dyDescent="0.4">
      <c r="A22" s="45">
        <v>20</v>
      </c>
      <c r="B22" t="s">
        <v>787</v>
      </c>
      <c r="C22" s="125" t="s">
        <v>1013</v>
      </c>
      <c r="D22" s="125"/>
      <c r="E22" s="30"/>
      <c r="F22" s="126" t="s">
        <v>97</v>
      </c>
      <c r="G22" s="1" t="s">
        <v>149</v>
      </c>
      <c r="H22" s="29">
        <v>1</v>
      </c>
      <c r="I22">
        <v>1</v>
      </c>
      <c r="J22">
        <v>1</v>
      </c>
      <c r="K22" s="3"/>
      <c r="L22" s="3"/>
      <c r="M22" s="3">
        <f t="shared" si="3"/>
        <v>3</v>
      </c>
      <c r="N22" s="41">
        <f t="shared" si="0"/>
        <v>0.6</v>
      </c>
      <c r="O22" s="1"/>
      <c r="P22" s="10" t="str">
        <f t="shared" si="4"/>
        <v>||||||||||||||||||</v>
      </c>
    </row>
    <row r="23" spans="1:16" ht="16" x14ac:dyDescent="0.4">
      <c r="A23" s="29">
        <v>21</v>
      </c>
      <c r="B23" t="s">
        <v>281</v>
      </c>
      <c r="C23" s="125" t="s">
        <v>1014</v>
      </c>
      <c r="D23" s="125">
        <v>1</v>
      </c>
      <c r="E23" s="30"/>
      <c r="F23" s="126" t="s">
        <v>96</v>
      </c>
      <c r="G23" s="1" t="s">
        <v>149</v>
      </c>
      <c r="H23" s="29">
        <v>1</v>
      </c>
      <c r="I23">
        <v>1</v>
      </c>
      <c r="J23">
        <v>1</v>
      </c>
      <c r="K23" s="3"/>
      <c r="L23" s="3"/>
      <c r="M23" s="3">
        <f t="shared" si="3"/>
        <v>3</v>
      </c>
      <c r="N23" s="41">
        <f t="shared" si="0"/>
        <v>0.6</v>
      </c>
      <c r="O23" s="1"/>
      <c r="P23" s="10" t="str">
        <f t="shared" si="4"/>
        <v>||||||||||||||||||</v>
      </c>
    </row>
    <row r="24" spans="1:16" ht="16" x14ac:dyDescent="0.4">
      <c r="A24" s="29">
        <v>22</v>
      </c>
      <c r="B24" t="s">
        <v>796</v>
      </c>
      <c r="C24" s="125" t="s">
        <v>1015</v>
      </c>
      <c r="D24" s="125">
        <v>1</v>
      </c>
      <c r="E24" s="30"/>
      <c r="F24" s="126" t="s">
        <v>96</v>
      </c>
      <c r="G24" s="1" t="s">
        <v>149</v>
      </c>
      <c r="H24" s="29">
        <v>1</v>
      </c>
      <c r="I24">
        <v>1</v>
      </c>
      <c r="J24">
        <v>1</v>
      </c>
      <c r="K24" s="3"/>
      <c r="L24" s="3"/>
      <c r="M24" s="3">
        <f t="shared" si="3"/>
        <v>3</v>
      </c>
      <c r="N24" s="41">
        <f t="shared" si="0"/>
        <v>0.6</v>
      </c>
      <c r="O24" s="1"/>
      <c r="P24" s="10" t="str">
        <f t="shared" si="4"/>
        <v>||||||||||||||||||</v>
      </c>
    </row>
    <row r="25" spans="1:16" ht="16" x14ac:dyDescent="0.4">
      <c r="A25" s="29">
        <v>23</v>
      </c>
      <c r="B25" t="s">
        <v>286</v>
      </c>
      <c r="C25" s="125" t="s">
        <v>615</v>
      </c>
      <c r="D25" s="125">
        <v>1</v>
      </c>
      <c r="E25" s="30"/>
      <c r="F25" s="126" t="s">
        <v>96</v>
      </c>
      <c r="G25" s="1" t="s">
        <v>149</v>
      </c>
      <c r="H25" s="29">
        <v>1</v>
      </c>
      <c r="I25"/>
      <c r="J25">
        <v>1</v>
      </c>
      <c r="K25" s="3"/>
      <c r="L25" s="3"/>
      <c r="M25" s="3">
        <f t="shared" si="3"/>
        <v>2</v>
      </c>
      <c r="N25" s="41">
        <f t="shared" si="0"/>
        <v>0.4</v>
      </c>
      <c r="O25" s="1"/>
      <c r="P25" s="10" t="str">
        <f t="shared" si="4"/>
        <v>||||||||||||</v>
      </c>
    </row>
    <row r="26" spans="1:16" ht="16" x14ac:dyDescent="0.4">
      <c r="A26" s="45">
        <v>24</v>
      </c>
      <c r="B26" t="s">
        <v>1016</v>
      </c>
      <c r="C26" s="125" t="s">
        <v>225</v>
      </c>
      <c r="D26" s="125">
        <v>1</v>
      </c>
      <c r="E26" s="30"/>
      <c r="F26" s="126" t="s">
        <v>97</v>
      </c>
      <c r="G26" s="1" t="s">
        <v>179</v>
      </c>
      <c r="H26" s="29">
        <v>1</v>
      </c>
      <c r="I26"/>
      <c r="J26"/>
      <c r="K26" s="3"/>
      <c r="L26" s="3"/>
      <c r="M26" s="3">
        <f t="shared" si="3"/>
        <v>1</v>
      </c>
      <c r="N26" s="41">
        <f t="shared" si="0"/>
        <v>0.2</v>
      </c>
      <c r="O26" s="1"/>
      <c r="P26" s="10" t="str">
        <f t="shared" si="4"/>
        <v>||||||</v>
      </c>
    </row>
    <row r="27" spans="1:16" ht="16" x14ac:dyDescent="0.4">
      <c r="A27" s="29">
        <v>25</v>
      </c>
      <c r="B27" t="s">
        <v>773</v>
      </c>
      <c r="C27" s="125" t="s">
        <v>1017</v>
      </c>
      <c r="D27" s="125"/>
      <c r="E27" s="30"/>
      <c r="F27" s="126" t="s">
        <v>96</v>
      </c>
      <c r="G27" s="1" t="s">
        <v>149</v>
      </c>
      <c r="H27" s="29">
        <v>1</v>
      </c>
      <c r="I27">
        <v>1</v>
      </c>
      <c r="J27">
        <v>1</v>
      </c>
      <c r="K27" s="3"/>
      <c r="L27" s="3"/>
      <c r="M27" s="3">
        <f t="shared" si="3"/>
        <v>3</v>
      </c>
      <c r="N27" s="41">
        <f t="shared" si="0"/>
        <v>0.6</v>
      </c>
      <c r="O27" s="1"/>
      <c r="P27" s="10" t="str">
        <f t="shared" si="4"/>
        <v>||||||||||||||||||</v>
      </c>
    </row>
    <row r="28" spans="1:16" ht="16" x14ac:dyDescent="0.4">
      <c r="A28" s="29">
        <v>26</v>
      </c>
      <c r="B28" t="s">
        <v>253</v>
      </c>
      <c r="C28" s="125" t="s">
        <v>1017</v>
      </c>
      <c r="D28" s="125"/>
      <c r="E28" s="30"/>
      <c r="F28" s="126" t="s">
        <v>96</v>
      </c>
      <c r="G28" s="1" t="s">
        <v>149</v>
      </c>
      <c r="H28" s="29">
        <v>1</v>
      </c>
      <c r="I28">
        <v>1</v>
      </c>
      <c r="J28">
        <v>1</v>
      </c>
      <c r="K28" s="3"/>
      <c r="L28" s="3"/>
      <c r="M28" s="3">
        <f t="shared" si="3"/>
        <v>3</v>
      </c>
      <c r="N28" s="41">
        <f t="shared" si="0"/>
        <v>0.6</v>
      </c>
      <c r="O28" s="1"/>
      <c r="P28" s="10" t="str">
        <f t="shared" si="4"/>
        <v>||||||||||||||||||</v>
      </c>
    </row>
    <row r="29" spans="1:16" ht="16" x14ac:dyDescent="0.4">
      <c r="A29" s="29">
        <v>27</v>
      </c>
      <c r="B29" t="s">
        <v>1018</v>
      </c>
      <c r="C29" s="125" t="s">
        <v>1017</v>
      </c>
      <c r="D29" s="125"/>
      <c r="E29" s="30"/>
      <c r="F29" s="126" t="s">
        <v>96</v>
      </c>
      <c r="G29" s="1" t="s">
        <v>149</v>
      </c>
      <c r="H29" s="29">
        <v>1</v>
      </c>
      <c r="I29" s="3">
        <v>1</v>
      </c>
      <c r="J29" s="3">
        <v>1</v>
      </c>
      <c r="K29" s="3"/>
      <c r="L29" s="3"/>
      <c r="M29" s="3">
        <f t="shared" si="3"/>
        <v>3</v>
      </c>
      <c r="N29" s="41">
        <f t="shared" si="0"/>
        <v>0.6</v>
      </c>
      <c r="O29" s="1"/>
      <c r="P29" s="10" t="str">
        <f t="shared" si="4"/>
        <v>||||||||||||||||||</v>
      </c>
    </row>
    <row r="30" spans="1:16" ht="16" x14ac:dyDescent="0.4">
      <c r="A30" s="45">
        <v>28</v>
      </c>
      <c r="B30" t="s">
        <v>1019</v>
      </c>
      <c r="C30" s="125" t="s">
        <v>225</v>
      </c>
      <c r="D30" s="125">
        <v>1</v>
      </c>
      <c r="E30" s="30"/>
      <c r="F30" s="126" t="s">
        <v>97</v>
      </c>
      <c r="G30" s="1" t="s">
        <v>179</v>
      </c>
      <c r="H30" s="29">
        <v>1</v>
      </c>
      <c r="I30" s="3">
        <v>1</v>
      </c>
      <c r="J30" s="3"/>
      <c r="K30" s="3"/>
      <c r="L30" s="3"/>
      <c r="M30" s="3">
        <f>SUM(H30:L30)</f>
        <v>2</v>
      </c>
      <c r="N30" s="41">
        <f t="shared" si="0"/>
        <v>0.4</v>
      </c>
      <c r="O30" s="1"/>
      <c r="P30" s="10" t="str">
        <f>REPT("||||||",M30)</f>
        <v>||||||||||||</v>
      </c>
    </row>
    <row r="31" spans="1:16" ht="16" x14ac:dyDescent="0.4">
      <c r="A31" s="29">
        <v>29</v>
      </c>
      <c r="B31" t="s">
        <v>1020</v>
      </c>
      <c r="C31" s="125" t="s">
        <v>225</v>
      </c>
      <c r="D31" s="125">
        <v>1</v>
      </c>
      <c r="E31" s="30"/>
      <c r="F31" s="126" t="s">
        <v>97</v>
      </c>
      <c r="G31" s="1" t="s">
        <v>179</v>
      </c>
      <c r="H31" s="29">
        <v>1</v>
      </c>
      <c r="I31" s="3"/>
      <c r="J31" s="3">
        <v>1</v>
      </c>
      <c r="K31" s="3"/>
      <c r="L31" s="3"/>
      <c r="M31" s="3">
        <f>SUM(H31:L31)</f>
        <v>2</v>
      </c>
      <c r="N31" s="41">
        <f t="shared" si="0"/>
        <v>0.4</v>
      </c>
      <c r="O31" s="1"/>
      <c r="P31" s="10" t="str">
        <f>REPT("||||||",M31)</f>
        <v>||||||||||||</v>
      </c>
    </row>
    <row r="32" spans="1:16" ht="16" x14ac:dyDescent="0.4">
      <c r="A32" s="29">
        <v>30</v>
      </c>
      <c r="B32" t="s">
        <v>1021</v>
      </c>
      <c r="C32" s="125" t="s">
        <v>225</v>
      </c>
      <c r="D32" s="125">
        <v>1</v>
      </c>
      <c r="F32" s="127" t="s">
        <v>97</v>
      </c>
      <c r="G32" s="1" t="s">
        <v>179</v>
      </c>
      <c r="H32" s="29">
        <v>1</v>
      </c>
      <c r="O32" s="1"/>
      <c r="P32" s="10" t="str">
        <f>REPT("||||||",M32)</f>
        <v/>
      </c>
    </row>
    <row r="33" spans="1:16" ht="16" x14ac:dyDescent="0.4">
      <c r="A33" s="29"/>
      <c r="B33" t="s">
        <v>1131</v>
      </c>
      <c r="C33" s="125" t="s">
        <v>1017</v>
      </c>
      <c r="D33" s="125"/>
      <c r="F33" s="132" t="s">
        <v>96</v>
      </c>
      <c r="G33" s="1"/>
      <c r="H33" s="29">
        <v>1</v>
      </c>
      <c r="I33" s="4">
        <v>1</v>
      </c>
      <c r="P33" s="10"/>
    </row>
    <row r="34" spans="1:16" ht="16" x14ac:dyDescent="0.4">
      <c r="A34" s="29"/>
      <c r="B34" t="s">
        <v>1132</v>
      </c>
      <c r="C34" s="125" t="s">
        <v>1010</v>
      </c>
      <c r="D34" s="125"/>
      <c r="F34" s="132" t="s">
        <v>96</v>
      </c>
      <c r="G34" s="1"/>
      <c r="H34" s="29">
        <v>1</v>
      </c>
      <c r="I34" s="4">
        <v>1</v>
      </c>
      <c r="J34" s="4">
        <v>1</v>
      </c>
      <c r="P34" s="10"/>
    </row>
    <row r="35" spans="1:16" ht="16" x14ac:dyDescent="0.4">
      <c r="A35" s="29"/>
      <c r="B35" t="s">
        <v>774</v>
      </c>
      <c r="C35" s="125" t="s">
        <v>1017</v>
      </c>
      <c r="D35" s="125"/>
      <c r="F35" s="132" t="s">
        <v>96</v>
      </c>
      <c r="G35" s="1"/>
      <c r="H35" s="29">
        <v>1</v>
      </c>
      <c r="I35" s="4">
        <v>1</v>
      </c>
      <c r="J35" s="4">
        <v>1</v>
      </c>
      <c r="P35" s="10"/>
    </row>
    <row r="36" spans="1:16" ht="16" x14ac:dyDescent="0.4">
      <c r="A36" s="29"/>
      <c r="B36" t="s">
        <v>1133</v>
      </c>
      <c r="C36" s="125" t="s">
        <v>428</v>
      </c>
      <c r="D36" s="125"/>
      <c r="F36" s="132" t="s">
        <v>96</v>
      </c>
      <c r="G36" s="1"/>
      <c r="H36" s="29">
        <v>1</v>
      </c>
      <c r="I36" s="4">
        <v>1</v>
      </c>
      <c r="J36" s="4">
        <v>1</v>
      </c>
      <c r="P36" s="10"/>
    </row>
    <row r="37" spans="1:16" ht="16" x14ac:dyDescent="0.4">
      <c r="A37" s="29"/>
      <c r="B37" t="s">
        <v>289</v>
      </c>
      <c r="C37" s="125" t="s">
        <v>1140</v>
      </c>
      <c r="D37" s="125"/>
      <c r="F37" s="132" t="s">
        <v>96</v>
      </c>
      <c r="G37" s="1"/>
      <c r="H37" s="29">
        <v>1</v>
      </c>
      <c r="I37" s="4">
        <v>1</v>
      </c>
      <c r="J37" s="4">
        <v>1</v>
      </c>
      <c r="P37" s="10"/>
    </row>
    <row r="38" spans="1:16" ht="16" x14ac:dyDescent="0.4">
      <c r="A38" s="29"/>
      <c r="B38" t="s">
        <v>1134</v>
      </c>
      <c r="C38" s="125" t="s">
        <v>1141</v>
      </c>
      <c r="D38" s="125"/>
      <c r="F38" s="132" t="s">
        <v>96</v>
      </c>
      <c r="G38" s="1"/>
      <c r="H38" s="29">
        <v>1</v>
      </c>
      <c r="I38" s="4">
        <v>1</v>
      </c>
      <c r="P38" s="10"/>
    </row>
    <row r="39" spans="1:16" ht="16" x14ac:dyDescent="0.4">
      <c r="A39" s="29"/>
      <c r="B39" t="s">
        <v>137</v>
      </c>
      <c r="C39" s="125" t="s">
        <v>428</v>
      </c>
      <c r="D39" s="125"/>
      <c r="F39" s="132" t="s">
        <v>96</v>
      </c>
      <c r="G39" s="1"/>
      <c r="H39" s="29">
        <v>1</v>
      </c>
      <c r="I39" s="4">
        <v>1</v>
      </c>
      <c r="P39" s="10"/>
    </row>
    <row r="40" spans="1:16" ht="16" x14ac:dyDescent="0.4">
      <c r="A40" s="29"/>
      <c r="B40" t="s">
        <v>142</v>
      </c>
      <c r="C40" s="125" t="s">
        <v>1142</v>
      </c>
      <c r="D40" s="125"/>
      <c r="F40" s="132" t="s">
        <v>96</v>
      </c>
      <c r="G40" s="1"/>
      <c r="H40" s="29">
        <v>1</v>
      </c>
      <c r="I40" s="4">
        <v>1</v>
      </c>
      <c r="P40" s="10"/>
    </row>
    <row r="41" spans="1:16" ht="16" x14ac:dyDescent="0.4">
      <c r="A41" s="29"/>
      <c r="B41" t="s">
        <v>1135</v>
      </c>
      <c r="C41" s="125" t="s">
        <v>1010</v>
      </c>
      <c r="D41" s="125"/>
      <c r="F41" s="132" t="s">
        <v>97</v>
      </c>
      <c r="G41" s="1"/>
      <c r="H41" s="29">
        <v>1</v>
      </c>
      <c r="I41" s="4">
        <v>1</v>
      </c>
      <c r="J41" s="4">
        <v>1</v>
      </c>
      <c r="P41" s="10"/>
    </row>
    <row r="42" spans="1:16" ht="16" x14ac:dyDescent="0.4">
      <c r="A42" s="29"/>
      <c r="B42" t="s">
        <v>1136</v>
      </c>
      <c r="C42" s="125" t="s">
        <v>1017</v>
      </c>
      <c r="D42" s="125"/>
      <c r="F42" s="132" t="s">
        <v>97</v>
      </c>
      <c r="G42" s="1"/>
      <c r="H42" s="29">
        <v>1</v>
      </c>
      <c r="I42" s="4">
        <v>1</v>
      </c>
      <c r="J42" s="4">
        <v>1</v>
      </c>
      <c r="P42" s="10"/>
    </row>
    <row r="43" spans="1:16" ht="16" x14ac:dyDescent="0.4">
      <c r="A43" s="29"/>
      <c r="B43" t="s">
        <v>1137</v>
      </c>
      <c r="C43" s="125" t="s">
        <v>1010</v>
      </c>
      <c r="D43" s="125"/>
      <c r="F43" s="132" t="s">
        <v>96</v>
      </c>
      <c r="G43" s="1"/>
      <c r="H43" s="29">
        <v>1</v>
      </c>
      <c r="I43" s="4">
        <v>1</v>
      </c>
      <c r="P43" s="10"/>
    </row>
    <row r="44" spans="1:16" ht="16" x14ac:dyDescent="0.4">
      <c r="A44" s="29"/>
      <c r="B44" t="s">
        <v>1138</v>
      </c>
      <c r="C44" s="125" t="s">
        <v>1143</v>
      </c>
      <c r="D44" s="125">
        <v>1</v>
      </c>
      <c r="F44" s="132" t="s">
        <v>97</v>
      </c>
      <c r="G44" s="1"/>
      <c r="H44" s="29">
        <v>1</v>
      </c>
      <c r="I44" s="4">
        <v>1</v>
      </c>
      <c r="J44" s="4">
        <v>1</v>
      </c>
      <c r="P44" s="10"/>
    </row>
    <row r="45" spans="1:16" ht="16" x14ac:dyDescent="0.4">
      <c r="A45" s="29"/>
      <c r="B45" t="s">
        <v>1139</v>
      </c>
      <c r="C45" s="125" t="s">
        <v>225</v>
      </c>
      <c r="D45" s="125">
        <v>1</v>
      </c>
      <c r="F45" s="132" t="s">
        <v>97</v>
      </c>
      <c r="G45" s="1" t="s">
        <v>179</v>
      </c>
      <c r="H45" s="29">
        <v>1</v>
      </c>
      <c r="I45" s="4">
        <v>1</v>
      </c>
      <c r="P45" s="10"/>
    </row>
    <row r="46" spans="1:16" ht="16" x14ac:dyDescent="0.4">
      <c r="A46" s="29"/>
      <c r="B46" t="s">
        <v>1144</v>
      </c>
      <c r="C46" s="125" t="s">
        <v>225</v>
      </c>
      <c r="D46" s="125">
        <v>1</v>
      </c>
      <c r="F46" s="132" t="s">
        <v>97</v>
      </c>
      <c r="G46" s="1" t="s">
        <v>179</v>
      </c>
      <c r="H46" s="29">
        <v>1</v>
      </c>
      <c r="I46" s="4">
        <v>1</v>
      </c>
      <c r="P46" s="10"/>
    </row>
    <row r="47" spans="1:16" ht="16" x14ac:dyDescent="0.4">
      <c r="A47" s="29"/>
      <c r="B47" t="s">
        <v>1145</v>
      </c>
      <c r="C47" s="125" t="s">
        <v>225</v>
      </c>
      <c r="D47" s="125">
        <v>1</v>
      </c>
      <c r="F47" s="132" t="s">
        <v>97</v>
      </c>
      <c r="G47" s="1" t="s">
        <v>179</v>
      </c>
      <c r="P47" s="10"/>
    </row>
    <row r="48" spans="1:16" ht="16" x14ac:dyDescent="0.4">
      <c r="A48" s="29"/>
      <c r="B48" s="31" t="s">
        <v>1146</v>
      </c>
      <c r="C48" s="125" t="s">
        <v>225</v>
      </c>
      <c r="D48" s="31">
        <v>1</v>
      </c>
      <c r="F48" s="132" t="s">
        <v>97</v>
      </c>
      <c r="G48" s="1" t="s">
        <v>179</v>
      </c>
      <c r="P48" s="10" t="str">
        <f>REPT("||||||",M48)</f>
        <v/>
      </c>
    </row>
    <row r="49" spans="1:16" ht="16" x14ac:dyDescent="0.4">
      <c r="A49" s="29"/>
      <c r="G49" s="31" t="s">
        <v>38</v>
      </c>
      <c r="H49" s="32">
        <f>SUM(H3:H32)</f>
        <v>30</v>
      </c>
      <c r="I49" s="32">
        <f t="shared" ref="I49:L49" si="5">SUM(I3:I32)</f>
        <v>17</v>
      </c>
      <c r="J49" s="32">
        <f t="shared" si="5"/>
        <v>20</v>
      </c>
      <c r="K49" s="32">
        <f t="shared" si="5"/>
        <v>0</v>
      </c>
      <c r="L49" s="32">
        <f t="shared" si="5"/>
        <v>0</v>
      </c>
      <c r="P49" s="10"/>
    </row>
    <row r="50" spans="1:16" ht="16" x14ac:dyDescent="0.4">
      <c r="A50" s="29"/>
      <c r="G50" s="31" t="s">
        <v>14</v>
      </c>
      <c r="H50" s="32">
        <v>7</v>
      </c>
      <c r="I50" s="4">
        <v>6</v>
      </c>
      <c r="J50" s="4">
        <v>5</v>
      </c>
      <c r="P50" s="10"/>
    </row>
    <row r="51" spans="1:16" ht="43.5" x14ac:dyDescent="0.35">
      <c r="A51" s="1" t="s">
        <v>595</v>
      </c>
      <c r="B51" s="58" t="s">
        <v>96</v>
      </c>
      <c r="C51" s="50"/>
      <c r="D51" s="107">
        <f>COUNTIFS($G$3:$G$32,"Sama / dibawah 35 tahun",$F$3:$F$32,"Laki-laki")</f>
        <v>0</v>
      </c>
      <c r="G51" s="33">
        <v>0.8</v>
      </c>
      <c r="M51" s="42" t="s">
        <v>31</v>
      </c>
      <c r="N51" s="19">
        <f>COUNTIF(N3:N30,"&gt;=80%")</f>
        <v>0</v>
      </c>
    </row>
    <row r="52" spans="1:16" ht="43.5" x14ac:dyDescent="0.35">
      <c r="A52" s="58"/>
      <c r="B52" s="58" t="s">
        <v>97</v>
      </c>
      <c r="C52" s="50"/>
      <c r="D52" s="107">
        <f>COUNTIFS($G$3:$G$32,"Sama / dibawah 35 tahun",$F$3:$F$32,"Perempuan")-4</f>
        <v>0</v>
      </c>
      <c r="G52" s="33">
        <v>0.5</v>
      </c>
      <c r="M52" s="42" t="s">
        <v>51</v>
      </c>
      <c r="N52" s="19">
        <f>COUNTIF(N3:N31,"&gt;=50%")</f>
        <v>16</v>
      </c>
    </row>
    <row r="53" spans="1:16" ht="58" x14ac:dyDescent="0.35">
      <c r="A53" s="1" t="s">
        <v>149</v>
      </c>
      <c r="B53" s="58" t="s">
        <v>96</v>
      </c>
      <c r="C53" s="50"/>
      <c r="D53" s="107">
        <f>COUNTIFS($G$3:$G$32,"Diatas 35 tahun",$F$3:$F$32,"Laki-laki")-3</f>
        <v>15</v>
      </c>
      <c r="M53" s="42" t="s">
        <v>52</v>
      </c>
      <c r="N53" s="19">
        <f>COUNTIF(M3:M30,"&gt;=4")</f>
        <v>0</v>
      </c>
    </row>
    <row r="54" spans="1:16" ht="58" x14ac:dyDescent="0.35">
      <c r="A54"/>
      <c r="B54" s="58" t="s">
        <v>97</v>
      </c>
      <c r="C54" s="50"/>
      <c r="D54" s="107">
        <f>COUNTIFS($G$3:$G$32,"Diatas 35 tahun",$F$3:$F$32,"Perempuan")</f>
        <v>8</v>
      </c>
      <c r="M54" s="42" t="s">
        <v>53</v>
      </c>
      <c r="N54" s="19">
        <f>COUNTIF(M3:M31,"&gt;=3")</f>
        <v>13</v>
      </c>
    </row>
    <row r="55" spans="1:16" ht="23.5" x14ac:dyDescent="0.55000000000000004">
      <c r="A55"/>
      <c r="B55" s="106" t="s">
        <v>184</v>
      </c>
      <c r="C55" s="130"/>
      <c r="D55">
        <f>SUM(D51:D54)</f>
        <v>23</v>
      </c>
    </row>
  </sheetData>
  <autoFilter ref="A2:T55" xr:uid="{688F522B-E068-4CF2-B7DE-861649572824}">
    <sortState xmlns:xlrd2="http://schemas.microsoft.com/office/spreadsheetml/2017/richdata2" ref="A4:T51">
      <sortCondition ref="B2:B51"/>
    </sortState>
  </autoFilter>
  <mergeCells count="8">
    <mergeCell ref="O1:O2"/>
    <mergeCell ref="P1:P2"/>
    <mergeCell ref="A1:A2"/>
    <mergeCell ref="B1:B2"/>
    <mergeCell ref="G1:G2"/>
    <mergeCell ref="H1:M1"/>
    <mergeCell ref="F1:F2"/>
    <mergeCell ref="E1:E2"/>
  </mergeCells>
  <conditionalFormatting sqref="A6:A52">
    <cfRule type="expression" dxfId="45" priority="10">
      <formula>MOD(ROW(),2)=0</formula>
    </cfRule>
  </conditionalFormatting>
  <conditionalFormatting sqref="A51">
    <cfRule type="expression" dxfId="44" priority="6">
      <formula>MOD(ROW(),2)=0</formula>
    </cfRule>
    <cfRule type="expression" dxfId="43" priority="7">
      <formula>MOD(ROW(),2)=0</formula>
    </cfRule>
    <cfRule type="expression" dxfId="42" priority="8">
      <formula>MOD(ROW(),2)=0</formula>
    </cfRule>
    <cfRule type="expression" dxfId="41" priority="9">
      <formula>MOD(ROW(),2)=0</formula>
    </cfRule>
    <cfRule type="expression" priority="11">
      <formula>MOD(ROW(),2)=0</formula>
    </cfRule>
  </conditionalFormatting>
  <conditionalFormatting sqref="A53">
    <cfRule type="expression" dxfId="40" priority="1">
      <formula>MOD(ROW(),2)=0</formula>
    </cfRule>
    <cfRule type="expression" dxfId="39" priority="2">
      <formula>MOD(ROW(),2)=0</formula>
    </cfRule>
    <cfRule type="expression" dxfId="38" priority="3">
      <formula>MOD(ROW(),2)=0</formula>
    </cfRule>
    <cfRule type="expression" dxfId="37" priority="4">
      <formula>MOD(ROW(),2)=0</formula>
    </cfRule>
    <cfRule type="expression" priority="5">
      <formula>MOD(ROW(),2)=0</formula>
    </cfRule>
  </conditionalFormatting>
  <conditionalFormatting sqref="A3:G31">
    <cfRule type="expression" dxfId="36" priority="16">
      <formula>MOD(ROW(),2)=0</formula>
    </cfRule>
  </conditionalFormatting>
  <conditionalFormatting sqref="A1:N2">
    <cfRule type="expression" dxfId="35" priority="23">
      <formula>MOD(ROW(),2)=0</formula>
    </cfRule>
  </conditionalFormatting>
  <conditionalFormatting sqref="B51:C55">
    <cfRule type="expression" dxfId="34" priority="12">
      <formula>MOD(ROW(),2)=0</formula>
    </cfRule>
  </conditionalFormatting>
  <conditionalFormatting sqref="E6:E14">
    <cfRule type="expression" dxfId="33" priority="42">
      <formula>MOD(ROW(),2)=0</formula>
    </cfRule>
  </conditionalFormatting>
  <conditionalFormatting sqref="G3:G48">
    <cfRule type="expression" dxfId="32" priority="13">
      <formula>MOD(ROW(),2)=0</formula>
    </cfRule>
  </conditionalFormatting>
  <conditionalFormatting sqref="G32:G48">
    <cfRule type="expression" dxfId="31" priority="14">
      <formula>MOD(ROW(),2)=0</formula>
    </cfRule>
  </conditionalFormatting>
  <conditionalFormatting sqref="H3:N3 I4:N31 H4:H47 G50">
    <cfRule type="expression" dxfId="30" priority="27">
      <formula>MOD(ROW(),2)=0</formula>
    </cfRule>
  </conditionalFormatting>
  <pageMargins left="0.7" right="0.7" top="0.75" bottom="0.75" header="0.3" footer="0.3"/>
  <pageSetup paperSize="9" orientation="landscape" horizontalDpi="4294967293" verticalDpi="3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DAD765B-6229-4552-84AE-9BCB08F67E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Tawangrejo!H3:L3</xm:f>
              <xm:sqref>O3</xm:sqref>
            </x14:sparkline>
            <x14:sparkline>
              <xm:f>Tawangrejo!H4:L4</xm:f>
              <xm:sqref>O4</xm:sqref>
            </x14:sparkline>
            <x14:sparkline>
              <xm:f>Tawangrejo!H5:L5</xm:f>
              <xm:sqref>O5</xm:sqref>
            </x14:sparkline>
            <x14:sparkline>
              <xm:f>Tawangrejo!H6:L6</xm:f>
              <xm:sqref>O6</xm:sqref>
            </x14:sparkline>
            <x14:sparkline>
              <xm:f>Tawangrejo!H7:L7</xm:f>
              <xm:sqref>O7</xm:sqref>
            </x14:sparkline>
            <x14:sparkline>
              <xm:f>Tawangrejo!H8:L8</xm:f>
              <xm:sqref>O8</xm:sqref>
            </x14:sparkline>
            <x14:sparkline>
              <xm:f>Tawangrejo!H9:L9</xm:f>
              <xm:sqref>O9</xm:sqref>
            </x14:sparkline>
            <x14:sparkline>
              <xm:f>Tawangrejo!H10:L10</xm:f>
              <xm:sqref>O10</xm:sqref>
            </x14:sparkline>
            <x14:sparkline>
              <xm:f>Tawangrejo!H11:L11</xm:f>
              <xm:sqref>O11</xm:sqref>
            </x14:sparkline>
            <x14:sparkline>
              <xm:f>Tawangrejo!H12:L12</xm:f>
              <xm:sqref>O12</xm:sqref>
            </x14:sparkline>
            <x14:sparkline>
              <xm:f>Tawangrejo!H13:L13</xm:f>
              <xm:sqref>O13</xm:sqref>
            </x14:sparkline>
            <x14:sparkline>
              <xm:f>Tawangrejo!H14:L14</xm:f>
              <xm:sqref>O14</xm:sqref>
            </x14:sparkline>
            <x14:sparkline>
              <xm:f>Tawangrejo!H15:L15</xm:f>
              <xm:sqref>O15</xm:sqref>
            </x14:sparkline>
            <x14:sparkline>
              <xm:f>Tawangrejo!H16:L16</xm:f>
              <xm:sqref>O16</xm:sqref>
            </x14:sparkline>
            <x14:sparkline>
              <xm:f>Tawangrejo!H17:L17</xm:f>
              <xm:sqref>O17</xm:sqref>
            </x14:sparkline>
            <x14:sparkline>
              <xm:f>Tawangrejo!H18:L18</xm:f>
              <xm:sqref>O18</xm:sqref>
            </x14:sparkline>
            <x14:sparkline>
              <xm:f>Tawangrejo!H19:L19</xm:f>
              <xm:sqref>O19</xm:sqref>
            </x14:sparkline>
            <x14:sparkline>
              <xm:f>Tawangrejo!H20:L20</xm:f>
              <xm:sqref>O20</xm:sqref>
            </x14:sparkline>
            <x14:sparkline>
              <xm:f>Tawangrejo!H21:L21</xm:f>
              <xm:sqref>O21</xm:sqref>
            </x14:sparkline>
            <x14:sparkline>
              <xm:f>Tawangrejo!H22:L22</xm:f>
              <xm:sqref>O22</xm:sqref>
            </x14:sparkline>
            <x14:sparkline>
              <xm:f>Tawangrejo!H23:L23</xm:f>
              <xm:sqref>O23</xm:sqref>
            </x14:sparkline>
            <x14:sparkline>
              <xm:f>Tawangrejo!H24:L24</xm:f>
              <xm:sqref>O24</xm:sqref>
            </x14:sparkline>
            <x14:sparkline>
              <xm:f>Tawangrejo!H25:L25</xm:f>
              <xm:sqref>O25</xm:sqref>
            </x14:sparkline>
            <x14:sparkline>
              <xm:f>Tawangrejo!H26:L26</xm:f>
              <xm:sqref>O26</xm:sqref>
            </x14:sparkline>
            <x14:sparkline>
              <xm:f>Tawangrejo!H27:L27</xm:f>
              <xm:sqref>O27</xm:sqref>
            </x14:sparkline>
            <x14:sparkline>
              <xm:f>Tawangrejo!H28:L28</xm:f>
              <xm:sqref>O28</xm:sqref>
            </x14:sparkline>
            <x14:sparkline>
              <xm:f>Tawangrejo!H29:L29</xm:f>
              <xm:sqref>O29</xm:sqref>
            </x14:sparkline>
            <x14:sparkline>
              <xm:f>Tawangrejo!H30:L30</xm:f>
              <xm:sqref>O30</xm:sqref>
            </x14:sparkline>
          </x14:sparklines>
        </x14:sparklineGroup>
        <x14:sparklineGroup displayEmptyCellsAs="gap" xr2:uid="{84B2C762-8820-4471-8B3E-5C89333F5B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Tawangrejo!H49:L49</xm:f>
              <xm:sqref>O32</xm:sqref>
            </x14:sparkline>
            <x14:sparkline>
              <xm:f>Tawangrejo!H50:L50</xm:f>
              <xm:sqref>O33</xm:sqref>
            </x14:sparkline>
            <x14:sparkline>
              <xm:f>Tawangrejo!H51:L51</xm:f>
              <xm:sqref>O34</xm:sqref>
            </x14:sparkline>
            <x14:sparkline>
              <xm:f>Tawangrejo!H52:L52</xm:f>
              <xm:sqref>O35</xm:sqref>
            </x14:sparkline>
            <x14:sparkline>
              <xm:f>Tawangrejo!H53:L53</xm:f>
              <xm:sqref>O36</xm:sqref>
            </x14:sparkline>
            <x14:sparkline>
              <xm:f>Tawangrejo!H54:L54</xm:f>
              <xm:sqref>O37</xm:sqref>
            </x14:sparkline>
            <x14:sparkline>
              <xm:f>Tawangrejo!H55:L55</xm:f>
              <xm:sqref>O38</xm:sqref>
            </x14:sparkline>
            <x14:sparkline>
              <xm:f>Tawangrejo!H50:L50</xm:f>
              <xm:sqref>O39</xm:sqref>
            </x14:sparkline>
            <x14:sparkline>
              <xm:f>Tawangrejo!H50:L50</xm:f>
              <xm:sqref>O40</xm:sqref>
            </x14:sparkline>
            <x14:sparkline>
              <xm:f>Tawangrejo!H50:L50</xm:f>
              <xm:sqref>O41</xm:sqref>
            </x14:sparkline>
            <x14:sparkline>
              <xm:f>Tawangrejo!H50:L50</xm:f>
              <xm:sqref>O42</xm:sqref>
            </x14:sparkline>
            <x14:sparkline>
              <xm:f>Tawangrejo!H50:L50</xm:f>
              <xm:sqref>O43</xm:sqref>
            </x14:sparkline>
            <x14:sparkline>
              <xm:f>Tawangrejo!H50:L50</xm:f>
              <xm:sqref>O44</xm:sqref>
            </x14:sparkline>
            <x14:sparkline>
              <xm:f>Tawangrejo!H50:L50</xm:f>
              <xm:sqref>O45</xm:sqref>
            </x14:sparkline>
            <x14:sparkline>
              <xm:f>Tawangrejo!H50:L50</xm:f>
              <xm:sqref>O46</xm:sqref>
            </x14:sparkline>
            <x14:sparkline>
              <xm:f>Tawangrejo!H50:L50</xm:f>
              <xm:sqref>O47</xm:sqref>
            </x14:sparkline>
          </x14:sparklines>
        </x14:sparklineGroup>
      </x14:sparklineGroup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9A32-2126-4696-B821-84AA177FBD93}">
  <sheetPr>
    <tabColor theme="7" tint="0.39997558519241921"/>
  </sheetPr>
  <dimension ref="A1:T51"/>
  <sheetViews>
    <sheetView zoomScale="85" zoomScaleNormal="85" workbookViewId="0">
      <pane ySplit="2" topLeftCell="A30" activePane="bottomLeft" state="frozen"/>
      <selection pane="bottomLeft" activeCell="M44" sqref="M44"/>
    </sheetView>
  </sheetViews>
  <sheetFormatPr defaultRowHeight="14.5" x14ac:dyDescent="0.35"/>
  <cols>
    <col min="1" max="1" width="8.7265625" style="4"/>
    <col min="2" max="5" width="16.81640625" customWidth="1"/>
    <col min="6" max="6" width="12.54296875" customWidth="1"/>
    <col min="7" max="7" width="16.453125" customWidth="1"/>
    <col min="8" max="12" width="11.1796875" style="4" customWidth="1"/>
    <col min="13" max="14" width="14.81640625" style="4" customWidth="1"/>
    <col min="15" max="15" width="11.81640625" customWidth="1"/>
  </cols>
  <sheetData>
    <row r="1" spans="1:20" x14ac:dyDescent="0.35">
      <c r="A1" s="134"/>
      <c r="B1" s="134" t="s">
        <v>13</v>
      </c>
      <c r="C1" s="13"/>
      <c r="D1" s="13"/>
      <c r="E1" s="134" t="s">
        <v>844</v>
      </c>
      <c r="F1" s="134" t="s">
        <v>18</v>
      </c>
      <c r="G1" s="134" t="s">
        <v>19</v>
      </c>
      <c r="H1" s="135" t="s">
        <v>20</v>
      </c>
      <c r="I1" s="135"/>
      <c r="J1" s="135"/>
      <c r="K1" s="135"/>
      <c r="L1" s="135"/>
      <c r="M1" s="135"/>
      <c r="N1" s="6"/>
      <c r="O1" s="133" t="s">
        <v>22</v>
      </c>
    </row>
    <row r="2" spans="1:20" ht="29" x14ac:dyDescent="0.35">
      <c r="A2" s="134"/>
      <c r="B2" s="134"/>
      <c r="C2" s="13" t="s">
        <v>46</v>
      </c>
      <c r="D2" s="13" t="s">
        <v>489</v>
      </c>
      <c r="E2" s="134"/>
      <c r="F2" s="134"/>
      <c r="G2" s="134"/>
      <c r="H2" s="7">
        <v>46222</v>
      </c>
      <c r="I2" s="7" t="s">
        <v>995</v>
      </c>
      <c r="J2" s="7" t="s">
        <v>1123</v>
      </c>
      <c r="K2" s="7">
        <v>46282</v>
      </c>
      <c r="L2" s="7">
        <v>46294</v>
      </c>
      <c r="M2" s="9" t="s">
        <v>23</v>
      </c>
      <c r="N2" s="9" t="s">
        <v>24</v>
      </c>
      <c r="O2" s="133"/>
      <c r="S2" t="s">
        <v>25</v>
      </c>
    </row>
    <row r="3" spans="1:20" ht="26" x14ac:dyDescent="0.4">
      <c r="A3" s="3">
        <v>1</v>
      </c>
      <c r="B3" s="107" t="s">
        <v>536</v>
      </c>
      <c r="C3" s="107" t="s">
        <v>408</v>
      </c>
      <c r="D3" s="107"/>
      <c r="E3" s="107"/>
      <c r="F3" t="s">
        <v>96</v>
      </c>
      <c r="G3" s="1" t="s">
        <v>149</v>
      </c>
      <c r="H3" s="3">
        <v>1</v>
      </c>
      <c r="I3" s="3">
        <v>1</v>
      </c>
      <c r="J3">
        <v>1</v>
      </c>
      <c r="K3">
        <v>1</v>
      </c>
      <c r="L3">
        <v>1</v>
      </c>
      <c r="M3" s="3">
        <f t="shared" ref="M3:M37" si="0">SUM(H3:L3)</f>
        <v>5</v>
      </c>
      <c r="N3" s="41">
        <f t="shared" ref="N3:N18" si="1">SUM(H3:L3)/4</f>
        <v>1.25</v>
      </c>
      <c r="O3" s="10" t="str">
        <f t="shared" ref="O3:O18" si="2">REPT("||||||",M3)</f>
        <v>||||||||||||||||||||||||||||||</v>
      </c>
      <c r="T3" s="34" t="s">
        <v>32</v>
      </c>
    </row>
    <row r="4" spans="1:20" ht="16" x14ac:dyDescent="0.4">
      <c r="A4" s="3">
        <v>2</v>
      </c>
      <c r="B4" s="107" t="s">
        <v>836</v>
      </c>
      <c r="C4" s="107" t="s">
        <v>408</v>
      </c>
      <c r="D4" s="107"/>
      <c r="E4" s="107"/>
      <c r="F4" t="s">
        <v>97</v>
      </c>
      <c r="G4" s="1" t="s">
        <v>149</v>
      </c>
      <c r="H4" s="3">
        <v>1</v>
      </c>
      <c r="I4" s="3">
        <v>1</v>
      </c>
      <c r="J4">
        <v>1</v>
      </c>
      <c r="K4">
        <v>1</v>
      </c>
      <c r="L4">
        <v>1</v>
      </c>
      <c r="M4" s="3">
        <f t="shared" si="0"/>
        <v>5</v>
      </c>
      <c r="N4" s="41">
        <f t="shared" si="1"/>
        <v>1.25</v>
      </c>
      <c r="O4" s="10" t="str">
        <f t="shared" si="2"/>
        <v>||||||||||||||||||||||||||||||</v>
      </c>
    </row>
    <row r="5" spans="1:20" ht="16" x14ac:dyDescent="0.4">
      <c r="A5" s="3">
        <v>3</v>
      </c>
      <c r="B5" s="107" t="s">
        <v>538</v>
      </c>
      <c r="C5" s="107" t="s">
        <v>408</v>
      </c>
      <c r="D5" s="107"/>
      <c r="E5" s="107"/>
      <c r="F5" t="s">
        <v>96</v>
      </c>
      <c r="G5" s="1" t="s">
        <v>149</v>
      </c>
      <c r="H5" s="3">
        <v>1</v>
      </c>
      <c r="I5" s="3">
        <v>1</v>
      </c>
      <c r="J5">
        <v>1</v>
      </c>
      <c r="K5">
        <v>1</v>
      </c>
      <c r="L5">
        <v>1</v>
      </c>
      <c r="M5" s="3">
        <f t="shared" si="0"/>
        <v>5</v>
      </c>
      <c r="N5" s="41">
        <f t="shared" si="1"/>
        <v>1.25</v>
      </c>
      <c r="O5" s="10" t="str">
        <f t="shared" si="2"/>
        <v>||||||||||||||||||||||||||||||</v>
      </c>
    </row>
    <row r="6" spans="1:20" ht="16" x14ac:dyDescent="0.4">
      <c r="A6" s="3">
        <v>4</v>
      </c>
      <c r="B6" s="107" t="s">
        <v>837</v>
      </c>
      <c r="C6" s="107" t="s">
        <v>408</v>
      </c>
      <c r="D6" s="107"/>
      <c r="E6" s="107"/>
      <c r="F6" t="s">
        <v>97</v>
      </c>
      <c r="G6" s="1" t="s">
        <v>149</v>
      </c>
      <c r="H6" s="3">
        <v>1</v>
      </c>
      <c r="I6" s="3"/>
      <c r="J6"/>
      <c r="K6"/>
      <c r="L6"/>
      <c r="M6" s="3">
        <f t="shared" si="0"/>
        <v>1</v>
      </c>
      <c r="N6" s="41">
        <f t="shared" si="1"/>
        <v>0.25</v>
      </c>
      <c r="O6" s="10" t="str">
        <f t="shared" si="2"/>
        <v>||||||</v>
      </c>
      <c r="T6" s="2"/>
    </row>
    <row r="7" spans="1:20" ht="16" x14ac:dyDescent="0.4">
      <c r="A7" s="3">
        <v>5</v>
      </c>
      <c r="B7" s="107" t="s">
        <v>200</v>
      </c>
      <c r="C7" s="107" t="s">
        <v>838</v>
      </c>
      <c r="D7" s="107"/>
      <c r="E7" s="107"/>
      <c r="F7" t="s">
        <v>97</v>
      </c>
      <c r="G7" s="1" t="s">
        <v>149</v>
      </c>
      <c r="H7" s="3">
        <v>1</v>
      </c>
      <c r="I7" s="3">
        <v>1</v>
      </c>
      <c r="J7">
        <v>1</v>
      </c>
      <c r="K7">
        <v>1</v>
      </c>
      <c r="L7">
        <v>1</v>
      </c>
      <c r="M7" s="3">
        <f t="shared" si="0"/>
        <v>5</v>
      </c>
      <c r="N7" s="41">
        <f t="shared" si="1"/>
        <v>1.25</v>
      </c>
      <c r="O7" s="10" t="str">
        <f t="shared" si="2"/>
        <v>||||||||||||||||||||||||||||||</v>
      </c>
      <c r="T7" s="2"/>
    </row>
    <row r="8" spans="1:20" ht="16" x14ac:dyDescent="0.4">
      <c r="A8" s="3">
        <v>6</v>
      </c>
      <c r="B8" s="107" t="s">
        <v>546</v>
      </c>
      <c r="C8" s="107" t="s">
        <v>838</v>
      </c>
      <c r="D8" s="107"/>
      <c r="E8" s="107"/>
      <c r="F8" t="s">
        <v>96</v>
      </c>
      <c r="G8" s="1" t="s">
        <v>149</v>
      </c>
      <c r="H8" s="3">
        <v>1</v>
      </c>
      <c r="I8" s="3">
        <v>1</v>
      </c>
      <c r="J8">
        <v>1</v>
      </c>
      <c r="K8">
        <v>1</v>
      </c>
      <c r="L8">
        <v>1</v>
      </c>
      <c r="M8" s="3">
        <f t="shared" si="0"/>
        <v>5</v>
      </c>
      <c r="N8" s="41">
        <f t="shared" si="1"/>
        <v>1.25</v>
      </c>
      <c r="O8" s="10" t="str">
        <f t="shared" si="2"/>
        <v>||||||||||||||||||||||||||||||</v>
      </c>
      <c r="T8" s="2"/>
    </row>
    <row r="9" spans="1:20" ht="16" x14ac:dyDescent="0.4">
      <c r="A9" s="3">
        <v>7</v>
      </c>
      <c r="B9" s="107" t="s">
        <v>541</v>
      </c>
      <c r="C9" s="107" t="s">
        <v>838</v>
      </c>
      <c r="D9" s="107"/>
      <c r="E9" s="107"/>
      <c r="F9" t="s">
        <v>96</v>
      </c>
      <c r="G9" s="1" t="s">
        <v>149</v>
      </c>
      <c r="H9" s="3">
        <v>1</v>
      </c>
      <c r="I9" s="3">
        <v>1</v>
      </c>
      <c r="J9">
        <v>1</v>
      </c>
      <c r="K9">
        <v>1</v>
      </c>
      <c r="L9">
        <v>1</v>
      </c>
      <c r="M9" s="3">
        <f t="shared" si="0"/>
        <v>5</v>
      </c>
      <c r="N9" s="41">
        <f t="shared" si="1"/>
        <v>1.25</v>
      </c>
      <c r="O9" s="10" t="str">
        <f t="shared" si="2"/>
        <v>||||||||||||||||||||||||||||||</v>
      </c>
      <c r="T9" s="2"/>
    </row>
    <row r="10" spans="1:20" ht="16" x14ac:dyDescent="0.4">
      <c r="A10" s="3">
        <v>8</v>
      </c>
      <c r="B10" s="107" t="s">
        <v>545</v>
      </c>
      <c r="C10" s="107" t="s">
        <v>838</v>
      </c>
      <c r="D10" s="107"/>
      <c r="E10" s="107"/>
      <c r="F10" t="s">
        <v>96</v>
      </c>
      <c r="G10" s="1" t="s">
        <v>149</v>
      </c>
      <c r="H10" s="3">
        <v>1</v>
      </c>
      <c r="I10" s="3">
        <v>1</v>
      </c>
      <c r="J10">
        <v>1</v>
      </c>
      <c r="K10">
        <v>1</v>
      </c>
      <c r="L10">
        <v>1</v>
      </c>
      <c r="M10" s="3">
        <f t="shared" si="0"/>
        <v>5</v>
      </c>
      <c r="N10" s="41">
        <f t="shared" si="1"/>
        <v>1.25</v>
      </c>
      <c r="O10" s="10" t="str">
        <f t="shared" si="2"/>
        <v>||||||||||||||||||||||||||||||</v>
      </c>
      <c r="S10">
        <v>1</v>
      </c>
      <c r="T10" t="s">
        <v>26</v>
      </c>
    </row>
    <row r="11" spans="1:20" ht="16" x14ac:dyDescent="0.4">
      <c r="A11" s="3">
        <v>9</v>
      </c>
      <c r="B11" s="107" t="s">
        <v>559</v>
      </c>
      <c r="C11" s="107" t="s">
        <v>838</v>
      </c>
      <c r="D11" s="107"/>
      <c r="E11" s="107"/>
      <c r="F11" t="s">
        <v>96</v>
      </c>
      <c r="G11" s="1" t="s">
        <v>149</v>
      </c>
      <c r="H11" s="3">
        <v>1</v>
      </c>
      <c r="I11" s="3">
        <v>1</v>
      </c>
      <c r="J11"/>
      <c r="K11"/>
      <c r="L11">
        <v>1</v>
      </c>
      <c r="M11" s="3">
        <f t="shared" si="0"/>
        <v>3</v>
      </c>
      <c r="N11" s="41">
        <f t="shared" si="1"/>
        <v>0.75</v>
      </c>
      <c r="O11" s="10" t="str">
        <f t="shared" si="2"/>
        <v>||||||||||||||||||</v>
      </c>
    </row>
    <row r="12" spans="1:20" ht="16" x14ac:dyDescent="0.4">
      <c r="A12" s="3">
        <v>10</v>
      </c>
      <c r="B12" s="107" t="s">
        <v>547</v>
      </c>
      <c r="C12" s="107" t="s">
        <v>838</v>
      </c>
      <c r="D12" s="107"/>
      <c r="E12" s="107"/>
      <c r="F12" t="s">
        <v>96</v>
      </c>
      <c r="G12" s="1" t="s">
        <v>149</v>
      </c>
      <c r="H12" s="3">
        <v>1</v>
      </c>
      <c r="I12" s="3">
        <v>1</v>
      </c>
      <c r="J12">
        <v>1</v>
      </c>
      <c r="K12">
        <v>1</v>
      </c>
      <c r="L12">
        <v>1</v>
      </c>
      <c r="M12" s="3">
        <f t="shared" si="0"/>
        <v>5</v>
      </c>
      <c r="N12" s="41">
        <f t="shared" si="1"/>
        <v>1.25</v>
      </c>
      <c r="O12" s="10" t="str">
        <f t="shared" si="2"/>
        <v>||||||||||||||||||||||||||||||</v>
      </c>
    </row>
    <row r="13" spans="1:20" ht="16" x14ac:dyDescent="0.4">
      <c r="A13" s="3">
        <v>11</v>
      </c>
      <c r="B13" s="107" t="s">
        <v>839</v>
      </c>
      <c r="C13" s="107" t="s">
        <v>408</v>
      </c>
      <c r="D13" s="107"/>
      <c r="E13" s="107"/>
      <c r="F13" t="s">
        <v>96</v>
      </c>
      <c r="G13" s="1" t="s">
        <v>149</v>
      </c>
      <c r="H13" s="3">
        <v>1</v>
      </c>
      <c r="I13" s="3">
        <v>1</v>
      </c>
      <c r="J13">
        <v>1</v>
      </c>
      <c r="K13">
        <v>1</v>
      </c>
      <c r="L13">
        <v>1</v>
      </c>
      <c r="M13" s="3">
        <f t="shared" si="0"/>
        <v>5</v>
      </c>
      <c r="N13" s="41">
        <f t="shared" si="1"/>
        <v>1.25</v>
      </c>
      <c r="O13" s="10" t="str">
        <f t="shared" si="2"/>
        <v>||||||||||||||||||||||||||||||</v>
      </c>
    </row>
    <row r="14" spans="1:20" ht="16" x14ac:dyDescent="0.4">
      <c r="A14" s="3">
        <v>12</v>
      </c>
      <c r="B14" s="107" t="s">
        <v>840</v>
      </c>
      <c r="C14" s="107" t="s">
        <v>408</v>
      </c>
      <c r="D14" s="107"/>
      <c r="E14" s="107"/>
      <c r="F14" t="s">
        <v>96</v>
      </c>
      <c r="G14" s="1" t="s">
        <v>149</v>
      </c>
      <c r="H14" s="3">
        <v>1</v>
      </c>
      <c r="I14" s="3">
        <v>1</v>
      </c>
      <c r="J14"/>
      <c r="K14">
        <v>1</v>
      </c>
      <c r="L14">
        <v>1</v>
      </c>
      <c r="M14" s="3">
        <f t="shared" si="0"/>
        <v>4</v>
      </c>
      <c r="N14" s="41">
        <f t="shared" si="1"/>
        <v>1</v>
      </c>
      <c r="O14" s="10" t="str">
        <f t="shared" si="2"/>
        <v>||||||||||||||||||||||||</v>
      </c>
    </row>
    <row r="15" spans="1:20" ht="26" x14ac:dyDescent="0.4">
      <c r="A15" s="3">
        <v>13</v>
      </c>
      <c r="B15" s="107" t="s">
        <v>548</v>
      </c>
      <c r="C15" s="107" t="s">
        <v>408</v>
      </c>
      <c r="D15" s="107"/>
      <c r="E15" s="107"/>
      <c r="F15" t="s">
        <v>96</v>
      </c>
      <c r="G15" s="1" t="s">
        <v>149</v>
      </c>
      <c r="H15" s="3">
        <v>1</v>
      </c>
      <c r="I15" s="3">
        <v>1</v>
      </c>
      <c r="J15">
        <v>1</v>
      </c>
      <c r="K15">
        <v>1</v>
      </c>
      <c r="L15">
        <v>1</v>
      </c>
      <c r="M15" s="3">
        <f t="shared" si="0"/>
        <v>5</v>
      </c>
      <c r="N15" s="41">
        <f t="shared" si="1"/>
        <v>1.25</v>
      </c>
      <c r="O15" s="10" t="str">
        <f t="shared" si="2"/>
        <v>||||||||||||||||||||||||||||||</v>
      </c>
      <c r="T15" s="34" t="s">
        <v>33</v>
      </c>
    </row>
    <row r="16" spans="1:20" ht="16" x14ac:dyDescent="0.4">
      <c r="A16" s="3">
        <v>14</v>
      </c>
      <c r="B16" s="107" t="s">
        <v>553</v>
      </c>
      <c r="C16" s="107" t="s">
        <v>408</v>
      </c>
      <c r="D16" s="107"/>
      <c r="E16" s="107"/>
      <c r="F16" t="s">
        <v>96</v>
      </c>
      <c r="G16" s="1" t="s">
        <v>149</v>
      </c>
      <c r="H16" s="3">
        <v>1</v>
      </c>
      <c r="I16" s="3">
        <v>1</v>
      </c>
      <c r="J16">
        <v>1</v>
      </c>
      <c r="K16">
        <v>1</v>
      </c>
      <c r="L16">
        <v>1</v>
      </c>
      <c r="M16" s="3">
        <f t="shared" si="0"/>
        <v>5</v>
      </c>
      <c r="N16" s="41">
        <f t="shared" si="1"/>
        <v>1.25</v>
      </c>
      <c r="O16" s="10" t="str">
        <f t="shared" si="2"/>
        <v>||||||||||||||||||||||||||||||</v>
      </c>
      <c r="S16">
        <v>0</v>
      </c>
      <c r="T16" t="s">
        <v>27</v>
      </c>
    </row>
    <row r="17" spans="1:20" ht="16" x14ac:dyDescent="0.4">
      <c r="A17" s="3">
        <v>15</v>
      </c>
      <c r="B17" s="107" t="s">
        <v>841</v>
      </c>
      <c r="C17" s="107" t="s">
        <v>408</v>
      </c>
      <c r="D17" s="107"/>
      <c r="E17" s="107"/>
      <c r="F17" t="s">
        <v>96</v>
      </c>
      <c r="G17" s="1" t="s">
        <v>149</v>
      </c>
      <c r="H17" s="3">
        <v>1</v>
      </c>
      <c r="I17" s="3">
        <v>1</v>
      </c>
      <c r="J17"/>
      <c r="K17">
        <v>1</v>
      </c>
      <c r="L17">
        <v>1</v>
      </c>
      <c r="M17" s="3">
        <f t="shared" si="0"/>
        <v>4</v>
      </c>
      <c r="N17" s="41">
        <f t="shared" si="1"/>
        <v>1</v>
      </c>
      <c r="O17" s="10" t="str">
        <f t="shared" si="2"/>
        <v>||||||||||||||||||||||||</v>
      </c>
    </row>
    <row r="18" spans="1:20" ht="26" x14ac:dyDescent="0.4">
      <c r="A18" s="3">
        <v>16</v>
      </c>
      <c r="B18" s="107" t="s">
        <v>556</v>
      </c>
      <c r="C18" s="107" t="s">
        <v>408</v>
      </c>
      <c r="D18" s="107"/>
      <c r="E18" s="107"/>
      <c r="F18" t="s">
        <v>96</v>
      </c>
      <c r="G18" s="1" t="s">
        <v>149</v>
      </c>
      <c r="H18" s="3">
        <v>1</v>
      </c>
      <c r="I18" s="3">
        <v>1</v>
      </c>
      <c r="J18">
        <v>1</v>
      </c>
      <c r="K18"/>
      <c r="L18"/>
      <c r="M18" s="3">
        <f t="shared" si="0"/>
        <v>3</v>
      </c>
      <c r="N18" s="41">
        <f t="shared" si="1"/>
        <v>0.75</v>
      </c>
      <c r="O18" s="10" t="str">
        <f t="shared" si="2"/>
        <v>||||||||||||||||||</v>
      </c>
      <c r="T18" s="34" t="s">
        <v>34</v>
      </c>
    </row>
    <row r="19" spans="1:20" ht="16" x14ac:dyDescent="0.4">
      <c r="A19" s="3">
        <v>17</v>
      </c>
      <c r="B19" s="107" t="s">
        <v>552</v>
      </c>
      <c r="C19" s="107" t="s">
        <v>408</v>
      </c>
      <c r="D19" s="107"/>
      <c r="E19" s="107"/>
      <c r="F19" t="s">
        <v>97</v>
      </c>
      <c r="G19" s="1" t="s">
        <v>149</v>
      </c>
      <c r="H19" s="3">
        <v>1</v>
      </c>
      <c r="I19" s="3">
        <v>1</v>
      </c>
      <c r="J19">
        <v>1</v>
      </c>
      <c r="K19">
        <v>1</v>
      </c>
      <c r="L19">
        <v>1</v>
      </c>
      <c r="M19" s="3">
        <f t="shared" si="0"/>
        <v>5</v>
      </c>
      <c r="N19" s="41"/>
      <c r="O19" s="10"/>
    </row>
    <row r="20" spans="1:20" ht="16" x14ac:dyDescent="0.4">
      <c r="A20" s="3">
        <v>18</v>
      </c>
      <c r="B20" s="107" t="s">
        <v>557</v>
      </c>
      <c r="C20" s="107" t="s">
        <v>408</v>
      </c>
      <c r="D20" s="107"/>
      <c r="E20" s="107"/>
      <c r="F20" t="s">
        <v>96</v>
      </c>
      <c r="G20" s="1" t="s">
        <v>149</v>
      </c>
      <c r="H20" s="3">
        <v>1</v>
      </c>
      <c r="I20" s="3">
        <v>1</v>
      </c>
      <c r="J20"/>
      <c r="K20"/>
      <c r="L20">
        <v>1</v>
      </c>
      <c r="M20" s="3">
        <f t="shared" si="0"/>
        <v>3</v>
      </c>
      <c r="N20" s="41">
        <f t="shared" ref="N20:N42" si="3">SUM(H20:L20)/4</f>
        <v>0.75</v>
      </c>
      <c r="O20" s="10" t="str">
        <f t="shared" ref="O20:O42" si="4">REPT("||||||",M20)</f>
        <v>||||||||||||||||||</v>
      </c>
    </row>
    <row r="21" spans="1:20" s="23" customFormat="1" ht="16" x14ac:dyDescent="0.4">
      <c r="A21" s="3">
        <v>19</v>
      </c>
      <c r="B21" s="107" t="s">
        <v>539</v>
      </c>
      <c r="C21" s="107" t="s">
        <v>408</v>
      </c>
      <c r="D21" s="107"/>
      <c r="E21" s="107">
        <v>81335732573</v>
      </c>
      <c r="F21" t="s">
        <v>96</v>
      </c>
      <c r="G21" s="1" t="s">
        <v>149</v>
      </c>
      <c r="H21" s="3">
        <v>1</v>
      </c>
      <c r="I21" s="21">
        <v>1</v>
      </c>
      <c r="J21"/>
      <c r="K21">
        <v>1</v>
      </c>
      <c r="L21">
        <v>1</v>
      </c>
      <c r="M21" s="3">
        <f t="shared" si="0"/>
        <v>4</v>
      </c>
      <c r="N21" s="44">
        <f t="shared" si="3"/>
        <v>1</v>
      </c>
      <c r="O21" s="24" t="str">
        <f t="shared" si="4"/>
        <v>||||||||||||||||||||||||</v>
      </c>
    </row>
    <row r="22" spans="1:20" ht="16" x14ac:dyDescent="0.4">
      <c r="A22" s="3">
        <v>20</v>
      </c>
      <c r="B22" s="107" t="s">
        <v>558</v>
      </c>
      <c r="C22" s="107" t="s">
        <v>408</v>
      </c>
      <c r="D22" s="107"/>
      <c r="E22" s="107"/>
      <c r="F22" t="s">
        <v>96</v>
      </c>
      <c r="G22" s="1" t="s">
        <v>149</v>
      </c>
      <c r="H22" s="3">
        <v>1</v>
      </c>
      <c r="I22" s="3">
        <v>1</v>
      </c>
      <c r="J22">
        <v>1</v>
      </c>
      <c r="K22">
        <v>1</v>
      </c>
      <c r="L22">
        <v>1</v>
      </c>
      <c r="M22" s="3">
        <f t="shared" si="0"/>
        <v>5</v>
      </c>
      <c r="N22" s="41">
        <f t="shared" si="3"/>
        <v>1.25</v>
      </c>
      <c r="O22" s="10" t="str">
        <f t="shared" si="4"/>
        <v>||||||||||||||||||||||||||||||</v>
      </c>
    </row>
    <row r="23" spans="1:20" ht="16" x14ac:dyDescent="0.4">
      <c r="A23" s="3">
        <v>21</v>
      </c>
      <c r="B23" s="107" t="s">
        <v>543</v>
      </c>
      <c r="C23" s="107" t="s">
        <v>408</v>
      </c>
      <c r="D23" s="107"/>
      <c r="E23" s="107"/>
      <c r="F23" t="s">
        <v>96</v>
      </c>
      <c r="G23" s="1" t="s">
        <v>149</v>
      </c>
      <c r="H23" s="3">
        <v>1</v>
      </c>
      <c r="I23" s="3">
        <v>1</v>
      </c>
      <c r="J23">
        <v>1</v>
      </c>
      <c r="K23">
        <v>1</v>
      </c>
      <c r="L23">
        <v>1</v>
      </c>
      <c r="M23" s="3">
        <f t="shared" si="0"/>
        <v>5</v>
      </c>
      <c r="N23" s="41">
        <f t="shared" si="3"/>
        <v>1.25</v>
      </c>
      <c r="O23" s="10" t="str">
        <f t="shared" si="4"/>
        <v>||||||||||||||||||||||||||||||</v>
      </c>
    </row>
    <row r="24" spans="1:20" ht="16" x14ac:dyDescent="0.4">
      <c r="A24" s="3">
        <v>22</v>
      </c>
      <c r="B24" s="107" t="s">
        <v>555</v>
      </c>
      <c r="C24" s="107" t="s">
        <v>408</v>
      </c>
      <c r="D24" s="107"/>
      <c r="E24" s="107"/>
      <c r="F24" t="s">
        <v>96</v>
      </c>
      <c r="G24" s="1" t="s">
        <v>149</v>
      </c>
      <c r="H24" s="3">
        <v>1</v>
      </c>
      <c r="I24" s="3"/>
      <c r="J24">
        <v>1</v>
      </c>
      <c r="K24"/>
      <c r="L24">
        <v>1</v>
      </c>
      <c r="M24" s="3">
        <f t="shared" si="0"/>
        <v>3</v>
      </c>
      <c r="N24" s="41">
        <f t="shared" si="3"/>
        <v>0.75</v>
      </c>
      <c r="O24" s="10" t="str">
        <f t="shared" si="4"/>
        <v>||||||||||||||||||</v>
      </c>
    </row>
    <row r="25" spans="1:20" ht="16" x14ac:dyDescent="0.4">
      <c r="A25" s="3">
        <v>23</v>
      </c>
      <c r="B25" s="107" t="s">
        <v>554</v>
      </c>
      <c r="C25" s="107" t="s">
        <v>408</v>
      </c>
      <c r="D25" s="107"/>
      <c r="E25" s="107"/>
      <c r="F25" t="s">
        <v>96</v>
      </c>
      <c r="G25" s="1" t="s">
        <v>149</v>
      </c>
      <c r="H25" s="3">
        <v>1</v>
      </c>
      <c r="I25" s="3">
        <v>1</v>
      </c>
      <c r="J25">
        <v>1</v>
      </c>
      <c r="K25">
        <v>1</v>
      </c>
      <c r="L25">
        <v>1</v>
      </c>
      <c r="M25" s="3">
        <f t="shared" si="0"/>
        <v>5</v>
      </c>
      <c r="N25" s="41">
        <f t="shared" si="3"/>
        <v>1.25</v>
      </c>
      <c r="O25" s="10" t="str">
        <f t="shared" si="4"/>
        <v>||||||||||||||||||||||||||||||</v>
      </c>
    </row>
    <row r="26" spans="1:20" ht="16" x14ac:dyDescent="0.4">
      <c r="A26" s="3">
        <v>24</v>
      </c>
      <c r="B26" s="107" t="s">
        <v>564</v>
      </c>
      <c r="C26" s="107" t="s">
        <v>408</v>
      </c>
      <c r="D26" s="107"/>
      <c r="E26" s="107"/>
      <c r="F26" t="s">
        <v>96</v>
      </c>
      <c r="G26" s="1" t="s">
        <v>149</v>
      </c>
      <c r="H26" s="3">
        <v>1</v>
      </c>
      <c r="I26" s="3"/>
      <c r="J26">
        <v>1</v>
      </c>
      <c r="K26">
        <v>1</v>
      </c>
      <c r="L26">
        <v>1</v>
      </c>
      <c r="M26" s="3">
        <f t="shared" si="0"/>
        <v>4</v>
      </c>
      <c r="N26" s="41">
        <f t="shared" si="3"/>
        <v>1</v>
      </c>
      <c r="O26" s="10" t="str">
        <f t="shared" si="4"/>
        <v>||||||||||||||||||||||||</v>
      </c>
    </row>
    <row r="27" spans="1:20" ht="16" x14ac:dyDescent="0.4">
      <c r="A27" s="3">
        <v>25</v>
      </c>
      <c r="B27" s="107" t="s">
        <v>842</v>
      </c>
      <c r="C27" s="107" t="s">
        <v>843</v>
      </c>
      <c r="D27" s="107">
        <v>1</v>
      </c>
      <c r="E27" s="107">
        <v>81335691830</v>
      </c>
      <c r="F27" t="s">
        <v>97</v>
      </c>
      <c r="G27" s="1" t="s">
        <v>149</v>
      </c>
      <c r="H27" s="3">
        <v>1</v>
      </c>
      <c r="I27" s="3"/>
      <c r="J27">
        <v>1</v>
      </c>
      <c r="K27"/>
      <c r="L27">
        <v>1</v>
      </c>
      <c r="M27" s="3">
        <f t="shared" si="0"/>
        <v>3</v>
      </c>
      <c r="N27" s="41">
        <f t="shared" si="3"/>
        <v>0.75</v>
      </c>
      <c r="O27" s="10" t="str">
        <f t="shared" si="4"/>
        <v>||||||||||||||||||</v>
      </c>
    </row>
    <row r="28" spans="1:20" ht="16" x14ac:dyDescent="0.4">
      <c r="A28" s="3">
        <v>26</v>
      </c>
      <c r="B28" s="107" t="s">
        <v>985</v>
      </c>
      <c r="C28" s="107" t="s">
        <v>408</v>
      </c>
      <c r="D28" s="107"/>
      <c r="E28" s="107"/>
      <c r="F28" t="s">
        <v>96</v>
      </c>
      <c r="G28" s="1" t="s">
        <v>149</v>
      </c>
      <c r="H28" s="3"/>
      <c r="I28" s="3">
        <v>1</v>
      </c>
      <c r="J28">
        <v>1</v>
      </c>
      <c r="K28">
        <v>1</v>
      </c>
      <c r="L28" s="3">
        <v>1</v>
      </c>
      <c r="M28" s="3">
        <f t="shared" si="0"/>
        <v>4</v>
      </c>
      <c r="N28" s="41"/>
      <c r="O28" s="10"/>
    </row>
    <row r="29" spans="1:20" ht="16" x14ac:dyDescent="0.4">
      <c r="A29" s="3">
        <v>27</v>
      </c>
      <c r="B29" s="107" t="s">
        <v>986</v>
      </c>
      <c r="C29" s="107" t="s">
        <v>992</v>
      </c>
      <c r="D29" s="107"/>
      <c r="E29" s="107"/>
      <c r="F29" t="s">
        <v>97</v>
      </c>
      <c r="G29" s="1" t="s">
        <v>149</v>
      </c>
      <c r="H29" s="3"/>
      <c r="I29" s="3">
        <v>1</v>
      </c>
      <c r="J29"/>
      <c r="K29"/>
      <c r="L29" s="3"/>
      <c r="M29" s="3">
        <f t="shared" si="0"/>
        <v>1</v>
      </c>
      <c r="N29" s="41"/>
      <c r="O29" s="10"/>
    </row>
    <row r="30" spans="1:20" ht="16" x14ac:dyDescent="0.4">
      <c r="A30" s="3">
        <v>28</v>
      </c>
      <c r="B30" s="107" t="s">
        <v>987</v>
      </c>
      <c r="C30" s="107" t="s">
        <v>992</v>
      </c>
      <c r="D30" s="107"/>
      <c r="E30" s="107"/>
      <c r="F30" t="s">
        <v>97</v>
      </c>
      <c r="G30" s="1" t="s">
        <v>149</v>
      </c>
      <c r="H30" s="3"/>
      <c r="I30" s="3">
        <v>1</v>
      </c>
      <c r="J30"/>
      <c r="K30"/>
      <c r="L30" s="3"/>
      <c r="M30" s="3">
        <f t="shared" si="0"/>
        <v>1</v>
      </c>
      <c r="N30" s="41"/>
      <c r="O30" s="10"/>
    </row>
    <row r="31" spans="1:20" ht="16" x14ac:dyDescent="0.4">
      <c r="A31" s="3">
        <v>29</v>
      </c>
      <c r="B31" s="107" t="s">
        <v>988</v>
      </c>
      <c r="C31" s="107" t="s">
        <v>993</v>
      </c>
      <c r="D31" s="107"/>
      <c r="E31" s="107"/>
      <c r="F31" t="s">
        <v>96</v>
      </c>
      <c r="G31" s="1" t="s">
        <v>149</v>
      </c>
      <c r="H31" s="3"/>
      <c r="I31" s="3">
        <v>1</v>
      </c>
      <c r="J31"/>
      <c r="K31"/>
      <c r="L31" s="3"/>
      <c r="M31" s="3">
        <f t="shared" si="0"/>
        <v>1</v>
      </c>
      <c r="N31" s="41"/>
      <c r="O31" s="10"/>
    </row>
    <row r="32" spans="1:20" ht="16" x14ac:dyDescent="0.4">
      <c r="A32" s="3">
        <v>30</v>
      </c>
      <c r="B32" s="107" t="s">
        <v>989</v>
      </c>
      <c r="C32" s="107" t="s">
        <v>993</v>
      </c>
      <c r="D32" s="107"/>
      <c r="E32" s="107"/>
      <c r="F32" t="s">
        <v>96</v>
      </c>
      <c r="G32" s="1" t="s">
        <v>149</v>
      </c>
      <c r="H32" s="3"/>
      <c r="I32" s="3">
        <v>1</v>
      </c>
      <c r="J32">
        <v>1</v>
      </c>
      <c r="K32"/>
      <c r="L32" s="3"/>
      <c r="M32" s="3">
        <f t="shared" si="0"/>
        <v>2</v>
      </c>
      <c r="N32" s="41"/>
      <c r="O32" s="10"/>
    </row>
    <row r="33" spans="1:20" ht="16" x14ac:dyDescent="0.4">
      <c r="A33" s="3">
        <v>31</v>
      </c>
      <c r="B33" s="107" t="s">
        <v>990</v>
      </c>
      <c r="C33" s="107" t="s">
        <v>992</v>
      </c>
      <c r="D33" s="107"/>
      <c r="E33" s="107"/>
      <c r="F33" t="s">
        <v>96</v>
      </c>
      <c r="G33" s="1" t="s">
        <v>149</v>
      </c>
      <c r="H33" s="3"/>
      <c r="I33" s="3">
        <v>1</v>
      </c>
      <c r="J33"/>
      <c r="K33"/>
      <c r="L33" s="3"/>
      <c r="M33" s="3">
        <f t="shared" si="0"/>
        <v>1</v>
      </c>
      <c r="N33" s="41"/>
      <c r="O33" s="10"/>
    </row>
    <row r="34" spans="1:20" ht="16" x14ac:dyDescent="0.4">
      <c r="A34" s="3">
        <v>32</v>
      </c>
      <c r="B34" s="107" t="s">
        <v>565</v>
      </c>
      <c r="C34" s="107" t="s">
        <v>408</v>
      </c>
      <c r="D34" s="107"/>
      <c r="E34" s="107"/>
      <c r="F34" t="s">
        <v>96</v>
      </c>
      <c r="G34" s="1" t="s">
        <v>149</v>
      </c>
      <c r="H34" s="3"/>
      <c r="I34" s="3">
        <v>1</v>
      </c>
      <c r="J34">
        <v>1</v>
      </c>
      <c r="K34">
        <v>1</v>
      </c>
      <c r="L34" s="3"/>
      <c r="M34" s="3">
        <f t="shared" si="0"/>
        <v>3</v>
      </c>
      <c r="N34" s="41"/>
      <c r="O34" s="10"/>
    </row>
    <row r="35" spans="1:20" ht="16" x14ac:dyDescent="0.4">
      <c r="A35" s="3">
        <v>33</v>
      </c>
      <c r="B35" s="107" t="s">
        <v>991</v>
      </c>
      <c r="C35" s="107" t="s">
        <v>994</v>
      </c>
      <c r="D35" s="107"/>
      <c r="E35" s="107"/>
      <c r="F35" t="s">
        <v>96</v>
      </c>
      <c r="G35" s="1" t="s">
        <v>149</v>
      </c>
      <c r="H35" s="3"/>
      <c r="I35" s="3">
        <v>1</v>
      </c>
      <c r="J35"/>
      <c r="K35"/>
      <c r="L35" s="3"/>
      <c r="M35" s="3">
        <f t="shared" si="0"/>
        <v>1</v>
      </c>
      <c r="N35" s="41"/>
      <c r="O35" s="10"/>
    </row>
    <row r="36" spans="1:20" ht="16" x14ac:dyDescent="0.4">
      <c r="A36" s="3">
        <v>34</v>
      </c>
      <c r="B36" s="107" t="s">
        <v>565</v>
      </c>
      <c r="C36" s="107" t="s">
        <v>408</v>
      </c>
      <c r="D36" s="107"/>
      <c r="E36" s="107"/>
      <c r="F36" t="s">
        <v>96</v>
      </c>
      <c r="G36" s="1" t="s">
        <v>149</v>
      </c>
      <c r="H36" s="3"/>
      <c r="I36" s="3">
        <v>1</v>
      </c>
      <c r="J36">
        <v>1</v>
      </c>
      <c r="K36">
        <v>1</v>
      </c>
      <c r="L36" s="3">
        <v>1</v>
      </c>
      <c r="M36" s="3">
        <f t="shared" si="0"/>
        <v>4</v>
      </c>
      <c r="N36" s="41"/>
      <c r="O36" s="10"/>
    </row>
    <row r="37" spans="1:20" ht="16" x14ac:dyDescent="0.4">
      <c r="A37" s="3">
        <v>35</v>
      </c>
      <c r="B37" s="107" t="s">
        <v>745</v>
      </c>
      <c r="C37" s="107" t="s">
        <v>537</v>
      </c>
      <c r="D37" s="107"/>
      <c r="E37" s="107"/>
      <c r="F37" t="s">
        <v>96</v>
      </c>
      <c r="G37" s="1" t="s">
        <v>149</v>
      </c>
      <c r="H37" s="3"/>
      <c r="I37" s="3"/>
      <c r="J37">
        <v>1</v>
      </c>
      <c r="K37" s="3"/>
      <c r="L37" s="3"/>
      <c r="M37" s="3">
        <f t="shared" si="0"/>
        <v>1</v>
      </c>
      <c r="N37" s="41"/>
      <c r="O37" s="10"/>
    </row>
    <row r="38" spans="1:20" ht="16" x14ac:dyDescent="0.4">
      <c r="A38" s="3"/>
      <c r="B38" s="107"/>
      <c r="C38" s="107"/>
      <c r="D38" s="107"/>
      <c r="E38" s="107"/>
      <c r="G38" s="1"/>
      <c r="H38" s="3"/>
      <c r="I38" s="3"/>
      <c r="J38"/>
      <c r="K38" s="3"/>
      <c r="L38" s="3"/>
      <c r="M38" s="3"/>
      <c r="N38" s="41"/>
      <c r="O38" s="10"/>
    </row>
    <row r="39" spans="1:20" ht="16" x14ac:dyDescent="0.4">
      <c r="A39" s="3"/>
      <c r="B39" s="107"/>
      <c r="C39" s="107"/>
      <c r="D39" s="107"/>
      <c r="E39" s="107"/>
      <c r="G39" s="1"/>
      <c r="H39" s="3"/>
      <c r="I39" s="3"/>
      <c r="J39"/>
      <c r="K39" s="3"/>
      <c r="L39" s="3"/>
      <c r="M39" s="3"/>
      <c r="N39" s="41"/>
      <c r="O39" s="10"/>
    </row>
    <row r="40" spans="1:20" ht="16" x14ac:dyDescent="0.4">
      <c r="A40" s="3"/>
      <c r="B40" s="107"/>
      <c r="C40" s="107"/>
      <c r="D40" s="107"/>
      <c r="E40" s="107"/>
      <c r="G40" s="1"/>
      <c r="H40" s="3"/>
      <c r="I40" s="3"/>
      <c r="J40"/>
      <c r="K40" s="3"/>
      <c r="L40" s="3"/>
      <c r="M40" s="3"/>
      <c r="N40" s="41"/>
      <c r="O40" s="10"/>
    </row>
    <row r="41" spans="1:20" ht="16" x14ac:dyDescent="0.4">
      <c r="A41" s="3"/>
      <c r="B41" s="1"/>
      <c r="C41" s="1"/>
      <c r="D41" s="1"/>
      <c r="E41" s="1"/>
      <c r="F41" s="1"/>
      <c r="G41" s="1"/>
      <c r="H41" s="3"/>
      <c r="I41" s="3"/>
      <c r="J41" s="3"/>
      <c r="K41" s="3"/>
      <c r="L41" s="3"/>
      <c r="M41" s="3">
        <f t="shared" ref="M41:M42" si="5">SUM(H41:L41)</f>
        <v>0</v>
      </c>
      <c r="N41" s="41">
        <f t="shared" si="3"/>
        <v>0</v>
      </c>
      <c r="O41" s="10" t="str">
        <f t="shared" si="4"/>
        <v/>
      </c>
    </row>
    <row r="42" spans="1:20" ht="26" x14ac:dyDescent="0.4">
      <c r="A42" s="3"/>
      <c r="B42" s="1"/>
      <c r="C42" s="1"/>
      <c r="D42" s="1"/>
      <c r="E42" s="1"/>
      <c r="F42" s="1"/>
      <c r="G42" s="1"/>
      <c r="H42" s="3"/>
      <c r="I42" s="3"/>
      <c r="J42" s="3"/>
      <c r="K42" s="3"/>
      <c r="L42" s="3"/>
      <c r="M42" s="3">
        <f t="shared" si="5"/>
        <v>0</v>
      </c>
      <c r="N42" s="41">
        <f t="shared" si="3"/>
        <v>0</v>
      </c>
      <c r="O42" s="10" t="str">
        <f t="shared" si="4"/>
        <v/>
      </c>
      <c r="T42" s="34" t="s">
        <v>36</v>
      </c>
    </row>
    <row r="43" spans="1:20" ht="16" x14ac:dyDescent="0.4">
      <c r="N43" s="36"/>
      <c r="O43" s="11"/>
    </row>
    <row r="44" spans="1:20" ht="16" x14ac:dyDescent="0.4">
      <c r="G44" t="s">
        <v>39</v>
      </c>
      <c r="H44" s="37">
        <f t="shared" ref="H44:M44" si="6">SUM(H3:H42)</f>
        <v>25</v>
      </c>
      <c r="I44" s="37">
        <f t="shared" si="6"/>
        <v>30</v>
      </c>
      <c r="J44" s="37">
        <f t="shared" si="6"/>
        <v>24</v>
      </c>
      <c r="K44" s="37">
        <f t="shared" si="6"/>
        <v>22</v>
      </c>
      <c r="L44" s="37">
        <f t="shared" si="6"/>
        <v>25</v>
      </c>
      <c r="M44" s="37">
        <f t="shared" si="6"/>
        <v>126</v>
      </c>
      <c r="N44" s="37"/>
      <c r="O44" s="11" t="str">
        <f t="shared" ref="O44:O50" si="7">REPT("|",M44)</f>
        <v>||||||||||||||||||||||||||||||||||||||||||||||||||||||||||||||||||||||||||||||||||||||||||||||||||||||||||||||||||||||||||||||</v>
      </c>
    </row>
    <row r="45" spans="1:20" ht="16" x14ac:dyDescent="0.4">
      <c r="G45" t="s">
        <v>14</v>
      </c>
      <c r="H45" s="4">
        <v>1</v>
      </c>
      <c r="I45" s="4">
        <v>0</v>
      </c>
      <c r="J45" s="4">
        <v>1</v>
      </c>
      <c r="K45" s="4">
        <v>0</v>
      </c>
      <c r="L45" s="4">
        <v>1</v>
      </c>
      <c r="O45" s="10" t="str">
        <f t="shared" si="7"/>
        <v/>
      </c>
    </row>
    <row r="46" spans="1:20" ht="16" x14ac:dyDescent="0.4">
      <c r="O46" s="10" t="str">
        <f t="shared" si="7"/>
        <v/>
      </c>
    </row>
    <row r="47" spans="1:20" ht="44" x14ac:dyDescent="0.4">
      <c r="A47" s="1" t="s">
        <v>595</v>
      </c>
      <c r="B47" s="58" t="s">
        <v>96</v>
      </c>
      <c r="C47" s="50"/>
      <c r="D47" s="107">
        <f>COUNTIFS($G$3:$G$37,"Sama / dibawah 35 tahun",$F$3:$F$37,"Laki-laki")</f>
        <v>0</v>
      </c>
      <c r="G47" s="28">
        <v>0.8</v>
      </c>
      <c r="H47" s="4" t="s">
        <v>40</v>
      </c>
      <c r="I47" s="4" t="s">
        <v>41</v>
      </c>
      <c r="M47" s="42" t="s">
        <v>31</v>
      </c>
      <c r="N47" s="19">
        <f>COUNTIF(N3:N42,"&gt;=80%")</f>
        <v>18</v>
      </c>
      <c r="O47" s="10" t="e">
        <f t="shared" si="7"/>
        <v>#VALUE!</v>
      </c>
    </row>
    <row r="48" spans="1:20" ht="44" x14ac:dyDescent="0.4">
      <c r="A48" s="58"/>
      <c r="B48" s="58" t="s">
        <v>97</v>
      </c>
      <c r="C48" s="50"/>
      <c r="D48" s="107">
        <f>COUNTIFS($G$3:$G$37,"Sama / dibawah 35 tahun",$F$3:$F$37,"Perempuan")</f>
        <v>0</v>
      </c>
      <c r="G48" s="28">
        <v>0.5</v>
      </c>
      <c r="M48" s="42" t="s">
        <v>51</v>
      </c>
      <c r="N48" s="19">
        <f>COUNTIF(N3:N43,"&gt;=50%")</f>
        <v>23</v>
      </c>
      <c r="O48" s="10" t="e">
        <f t="shared" si="7"/>
        <v>#VALUE!</v>
      </c>
    </row>
    <row r="49" spans="1:15" ht="58.5" x14ac:dyDescent="0.4">
      <c r="A49" s="1" t="s">
        <v>149</v>
      </c>
      <c r="B49" s="58" t="s">
        <v>96</v>
      </c>
      <c r="C49" s="50"/>
      <c r="D49" s="107">
        <f>COUNTIFS($G$3:$G$37,"Diatas 35 tahun",$F$3:$F$37,"Laki-laki")</f>
        <v>28</v>
      </c>
      <c r="M49" s="42" t="s">
        <v>52</v>
      </c>
      <c r="N49" s="19">
        <f>COUNTIF(M3:M43,"&gt;=4")</f>
        <v>21</v>
      </c>
      <c r="O49" s="10" t="e">
        <f t="shared" si="7"/>
        <v>#VALUE!</v>
      </c>
    </row>
    <row r="50" spans="1:15" ht="58.5" x14ac:dyDescent="0.4">
      <c r="A50"/>
      <c r="B50" s="58" t="s">
        <v>97</v>
      </c>
      <c r="C50" s="50"/>
      <c r="D50" s="107">
        <f>COUNTIFS($G$3:$G$37,"Diatas 35 tahun",$F$3:$F$37,"Perempuan")</f>
        <v>7</v>
      </c>
      <c r="M50" s="42" t="s">
        <v>53</v>
      </c>
      <c r="N50" s="19">
        <f>COUNTIF(M3:M44,"&gt;=3")</f>
        <v>28</v>
      </c>
      <c r="O50" s="10" t="e">
        <f t="shared" si="7"/>
        <v>#VALUE!</v>
      </c>
    </row>
    <row r="51" spans="1:15" ht="23.5" x14ac:dyDescent="0.55000000000000004">
      <c r="A51"/>
      <c r="B51" s="106" t="s">
        <v>184</v>
      </c>
      <c r="C51" s="130"/>
      <c r="D51">
        <f>SUM(D47:D50)</f>
        <v>35</v>
      </c>
    </row>
  </sheetData>
  <autoFilter ref="A2:T42" xr:uid="{5A359A32-2126-4696-B821-84AA177FBD93}">
    <sortState xmlns:xlrd2="http://schemas.microsoft.com/office/spreadsheetml/2017/richdata2" ref="A4:T42">
      <sortCondition ref="B2:B42"/>
    </sortState>
  </autoFilter>
  <mergeCells count="7">
    <mergeCell ref="O1:O2"/>
    <mergeCell ref="A1:A2"/>
    <mergeCell ref="B1:B2"/>
    <mergeCell ref="H1:M1"/>
    <mergeCell ref="G1:G2"/>
    <mergeCell ref="F1:F2"/>
    <mergeCell ref="E1:E2"/>
  </mergeCells>
  <conditionalFormatting sqref="A47">
    <cfRule type="expression" dxfId="29" priority="6">
      <formula>MOD(ROW(),2)=0</formula>
    </cfRule>
    <cfRule type="expression" dxfId="28" priority="7">
      <formula>MOD(ROW(),2)=0</formula>
    </cfRule>
    <cfRule type="expression" dxfId="27" priority="8">
      <formula>MOD(ROW(),2)=0</formula>
    </cfRule>
    <cfRule type="expression" dxfId="26" priority="9">
      <formula>MOD(ROW(),2)=0</formula>
    </cfRule>
    <cfRule type="expression" priority="11">
      <formula>MOD(ROW(),2)=0</formula>
    </cfRule>
  </conditionalFormatting>
  <conditionalFormatting sqref="A47:A48">
    <cfRule type="expression" dxfId="25" priority="10">
      <formula>MOD(ROW(),2)=0</formula>
    </cfRule>
  </conditionalFormatting>
  <conditionalFormatting sqref="A49">
    <cfRule type="expression" dxfId="24" priority="1">
      <formula>MOD(ROW(),2)=0</formula>
    </cfRule>
    <cfRule type="expression" dxfId="23" priority="2">
      <formula>MOD(ROW(),2)=0</formula>
    </cfRule>
    <cfRule type="expression" dxfId="22" priority="3">
      <formula>MOD(ROW(),2)=0</formula>
    </cfRule>
    <cfRule type="expression" dxfId="21" priority="4">
      <formula>MOD(ROW(),2)=0</formula>
    </cfRule>
    <cfRule type="expression" priority="5">
      <formula>MOD(ROW(),2)=0</formula>
    </cfRule>
  </conditionalFormatting>
  <conditionalFormatting sqref="A3:G42">
    <cfRule type="expression" dxfId="20" priority="16">
      <formula>MOD(ROW(),2)=0</formula>
    </cfRule>
  </conditionalFormatting>
  <conditionalFormatting sqref="A1:N2 H1:N42 A43:N43">
    <cfRule type="expression" dxfId="19" priority="20">
      <formula>MOD(ROW(),2)=0</formula>
    </cfRule>
  </conditionalFormatting>
  <conditionalFormatting sqref="B47:C51">
    <cfRule type="expression" dxfId="18" priority="12">
      <formula>MOD(ROW(),2)=0</formula>
    </cfRule>
  </conditionalFormatting>
  <conditionalFormatting sqref="G3:G40">
    <cfRule type="expression" dxfId="17" priority="13">
      <formula>MOD(ROW(),2)=0</formula>
    </cfRule>
    <cfRule type="expression" dxfId="16" priority="14">
      <formula>MOD(ROW(),2)=0</formula>
    </cfRule>
    <cfRule type="expression" dxfId="15" priority="15">
      <formula>MOD(ROW(),2)=0</formula>
    </cfRule>
    <cfRule type="expression" priority="17">
      <formula>MOD(ROW(),2)=0</formula>
    </cfRule>
  </conditionalFormatting>
  <conditionalFormatting sqref="G45">
    <cfRule type="expression" dxfId="14" priority="31">
      <formula>MOD(ROW(),2)=0</formula>
    </cfRule>
  </conditionalFormatting>
  <pageMargins left="0.7" right="0.7" top="0.75" bottom="0.75" header="0.3" footer="0.3"/>
  <pageSetup paperSize="9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1657-BA3B-4788-802B-65876F1E6C27}">
  <sheetPr>
    <tabColor theme="8" tint="0.59999389629810485"/>
  </sheetPr>
  <dimension ref="A1:T80"/>
  <sheetViews>
    <sheetView zoomScale="70" zoomScaleNormal="70" workbookViewId="0">
      <pane ySplit="2" topLeftCell="A66" activePane="bottomLeft" state="frozen"/>
      <selection pane="bottomLeft" activeCell="E80" sqref="E80"/>
    </sheetView>
  </sheetViews>
  <sheetFormatPr defaultRowHeight="14.5" x14ac:dyDescent="0.35"/>
  <cols>
    <col min="1" max="1" width="8.7265625" style="4"/>
    <col min="2" max="2" width="15.7265625" customWidth="1"/>
    <col min="3" max="4" width="14.1796875" customWidth="1"/>
    <col min="5" max="5" width="14.54296875" customWidth="1"/>
    <col min="6" max="6" width="12.1796875" customWidth="1"/>
    <col min="7" max="7" width="16.7265625" customWidth="1"/>
    <col min="8" max="9" width="9.1796875" style="4" customWidth="1"/>
    <col min="10" max="10" width="12.36328125" style="4" customWidth="1"/>
    <col min="11" max="11" width="10.26953125" style="4" customWidth="1"/>
    <col min="12" max="12" width="9.453125" style="4" customWidth="1"/>
    <col min="13" max="13" width="8.7265625" style="4" customWidth="1"/>
    <col min="14" max="15" width="14.81640625" style="4" customWidth="1"/>
    <col min="16" max="16" width="11.81640625" customWidth="1"/>
  </cols>
  <sheetData>
    <row r="1" spans="1:20" x14ac:dyDescent="0.35">
      <c r="A1" s="134"/>
      <c r="B1" s="134" t="s">
        <v>13</v>
      </c>
      <c r="C1" s="13"/>
      <c r="D1" s="13"/>
      <c r="E1" s="134" t="s">
        <v>16</v>
      </c>
      <c r="F1" s="134" t="s">
        <v>18</v>
      </c>
      <c r="G1" s="134" t="s">
        <v>19</v>
      </c>
      <c r="H1" s="135" t="s">
        <v>20</v>
      </c>
      <c r="I1" s="135"/>
      <c r="J1" s="135"/>
      <c r="K1" s="135"/>
      <c r="L1" s="135"/>
      <c r="M1" s="135"/>
      <c r="N1" s="135"/>
      <c r="O1" s="6"/>
      <c r="P1" s="140" t="s">
        <v>22</v>
      </c>
    </row>
    <row r="2" spans="1:20" ht="29" x14ac:dyDescent="0.35">
      <c r="A2" s="134"/>
      <c r="B2" s="134"/>
      <c r="C2" s="13" t="s">
        <v>46</v>
      </c>
      <c r="D2" s="13" t="s">
        <v>1129</v>
      </c>
      <c r="E2" s="134"/>
      <c r="F2" s="134"/>
      <c r="G2" s="134"/>
      <c r="H2" s="7">
        <v>46181</v>
      </c>
      <c r="I2" s="7">
        <v>46195</v>
      </c>
      <c r="J2" s="7">
        <v>46212</v>
      </c>
      <c r="K2" s="7">
        <v>46223</v>
      </c>
      <c r="L2" s="7" t="s">
        <v>996</v>
      </c>
      <c r="M2" s="7">
        <v>46267</v>
      </c>
      <c r="N2" s="9" t="s">
        <v>23</v>
      </c>
      <c r="O2" s="9" t="s">
        <v>24</v>
      </c>
      <c r="P2" s="140"/>
      <c r="Q2" t="s">
        <v>621</v>
      </c>
      <c r="S2" t="s">
        <v>25</v>
      </c>
    </row>
    <row r="3" spans="1:20" ht="16" x14ac:dyDescent="0.4">
      <c r="A3" s="3">
        <v>1</v>
      </c>
      <c r="B3" s="64" t="s">
        <v>592</v>
      </c>
      <c r="C3" s="64" t="s">
        <v>91</v>
      </c>
      <c r="D3" s="64"/>
      <c r="E3" s="64">
        <v>83846295402</v>
      </c>
      <c r="F3" s="1" t="s">
        <v>96</v>
      </c>
      <c r="G3" s="1" t="s">
        <v>149</v>
      </c>
      <c r="H3" s="3">
        <v>1</v>
      </c>
      <c r="I3">
        <v>1</v>
      </c>
      <c r="J3" s="3">
        <v>1</v>
      </c>
      <c r="K3">
        <v>1</v>
      </c>
      <c r="L3" s="3">
        <v>1</v>
      </c>
      <c r="M3" s="3"/>
      <c r="N3" s="3">
        <f t="shared" ref="N3:N40" si="0">SUM(H3:M3)</f>
        <v>5</v>
      </c>
      <c r="O3" s="41">
        <f>SUM(H3:M3)/6</f>
        <v>0.83333333333333337</v>
      </c>
      <c r="P3" s="10" t="str">
        <f t="shared" ref="P3:P15" si="1">REPT("||||||",N3)</f>
        <v>||||||||||||||||||||||||||||||</v>
      </c>
    </row>
    <row r="4" spans="1:20" ht="16" x14ac:dyDescent="0.4">
      <c r="A4" s="3">
        <v>2</v>
      </c>
      <c r="B4" s="64" t="s">
        <v>591</v>
      </c>
      <c r="C4" s="64" t="s">
        <v>594</v>
      </c>
      <c r="D4" s="64">
        <v>1</v>
      </c>
      <c r="E4" s="64">
        <v>81252580809</v>
      </c>
      <c r="F4" s="1" t="s">
        <v>97</v>
      </c>
      <c r="G4" s="1" t="s">
        <v>149</v>
      </c>
      <c r="H4" s="3">
        <v>1</v>
      </c>
      <c r="I4"/>
      <c r="J4" s="3"/>
      <c r="K4"/>
      <c r="L4" s="3"/>
      <c r="M4" s="3"/>
      <c r="N4" s="3">
        <f t="shared" si="0"/>
        <v>1</v>
      </c>
      <c r="O4" s="41">
        <f t="shared" ref="O4:O30" si="2">SUM(H4:M4)/6</f>
        <v>0.16666666666666666</v>
      </c>
      <c r="P4" s="10" t="str">
        <f t="shared" si="1"/>
        <v>||||||</v>
      </c>
    </row>
    <row r="5" spans="1:20" ht="16" x14ac:dyDescent="0.4">
      <c r="A5" s="3">
        <v>3</v>
      </c>
      <c r="B5" s="64" t="s">
        <v>590</v>
      </c>
      <c r="C5" s="64" t="s">
        <v>594</v>
      </c>
      <c r="D5" s="64">
        <v>1</v>
      </c>
      <c r="E5" s="64">
        <v>85646316321</v>
      </c>
      <c r="F5" s="1" t="s">
        <v>97</v>
      </c>
      <c r="G5" s="1" t="s">
        <v>149</v>
      </c>
      <c r="H5" s="3">
        <v>1</v>
      </c>
      <c r="I5"/>
      <c r="J5" s="3"/>
      <c r="K5"/>
      <c r="L5" s="3"/>
      <c r="M5" s="3"/>
      <c r="N5" s="3">
        <f t="shared" si="0"/>
        <v>1</v>
      </c>
      <c r="O5" s="41">
        <f t="shared" si="2"/>
        <v>0.16666666666666666</v>
      </c>
      <c r="P5" s="10" t="str">
        <f t="shared" si="1"/>
        <v>||||||</v>
      </c>
    </row>
    <row r="6" spans="1:20" ht="29" x14ac:dyDescent="0.4">
      <c r="A6" s="3">
        <v>4</v>
      </c>
      <c r="B6" s="64" t="s">
        <v>589</v>
      </c>
      <c r="C6" s="64" t="s">
        <v>594</v>
      </c>
      <c r="D6" s="64">
        <v>1</v>
      </c>
      <c r="E6" s="64">
        <v>85615674794</v>
      </c>
      <c r="F6" s="64" t="s">
        <v>97</v>
      </c>
      <c r="G6" s="1" t="s">
        <v>595</v>
      </c>
      <c r="H6" s="3">
        <v>1</v>
      </c>
      <c r="I6"/>
      <c r="J6" s="3"/>
      <c r="K6"/>
      <c r="L6" s="3"/>
      <c r="M6" s="3"/>
      <c r="N6" s="3">
        <f t="shared" si="0"/>
        <v>1</v>
      </c>
      <c r="O6" s="41">
        <f t="shared" si="2"/>
        <v>0.16666666666666666</v>
      </c>
      <c r="P6" s="10" t="str">
        <f t="shared" si="1"/>
        <v>||||||</v>
      </c>
      <c r="T6" s="2"/>
    </row>
    <row r="7" spans="1:20" ht="29" x14ac:dyDescent="0.4">
      <c r="A7" s="3">
        <v>5</v>
      </c>
      <c r="B7" s="64" t="s">
        <v>588</v>
      </c>
      <c r="C7" s="64" t="s">
        <v>594</v>
      </c>
      <c r="D7" s="64">
        <v>1</v>
      </c>
      <c r="E7" s="64">
        <v>85791022052</v>
      </c>
      <c r="F7" s="64" t="s">
        <v>97</v>
      </c>
      <c r="G7" s="1" t="s">
        <v>595</v>
      </c>
      <c r="H7" s="3">
        <v>1</v>
      </c>
      <c r="I7"/>
      <c r="J7" s="3"/>
      <c r="K7"/>
      <c r="L7" s="3"/>
      <c r="M7" s="3"/>
      <c r="N7" s="3">
        <f t="shared" si="0"/>
        <v>1</v>
      </c>
      <c r="O7" s="41">
        <f t="shared" si="2"/>
        <v>0.16666666666666666</v>
      </c>
      <c r="P7" s="10" t="str">
        <f t="shared" si="1"/>
        <v>||||||</v>
      </c>
      <c r="T7" s="35" t="s">
        <v>33</v>
      </c>
    </row>
    <row r="8" spans="1:20" ht="29" x14ac:dyDescent="0.4">
      <c r="A8" s="3">
        <v>6</v>
      </c>
      <c r="B8" s="64" t="s">
        <v>587</v>
      </c>
      <c r="C8" s="64" t="s">
        <v>594</v>
      </c>
      <c r="D8" s="64">
        <v>1</v>
      </c>
      <c r="E8" s="64">
        <v>85712252285</v>
      </c>
      <c r="F8" s="64" t="s">
        <v>97</v>
      </c>
      <c r="G8" s="1" t="s">
        <v>595</v>
      </c>
      <c r="H8" s="3">
        <v>1</v>
      </c>
      <c r="I8"/>
      <c r="J8" s="3"/>
      <c r="K8"/>
      <c r="L8" s="3"/>
      <c r="M8" s="3"/>
      <c r="N8" s="3">
        <f t="shared" si="0"/>
        <v>1</v>
      </c>
      <c r="O8" s="41">
        <f t="shared" si="2"/>
        <v>0.16666666666666666</v>
      </c>
      <c r="P8" s="10" t="str">
        <f t="shared" si="1"/>
        <v>||||||</v>
      </c>
      <c r="T8" s="2"/>
    </row>
    <row r="9" spans="1:20" ht="16" x14ac:dyDescent="0.4">
      <c r="A9" s="3">
        <v>7</v>
      </c>
      <c r="B9" s="64" t="s">
        <v>586</v>
      </c>
      <c r="C9" s="64" t="s">
        <v>594</v>
      </c>
      <c r="D9" s="64">
        <v>1</v>
      </c>
      <c r="E9" s="64">
        <v>81334664535</v>
      </c>
      <c r="F9" s="64" t="s">
        <v>97</v>
      </c>
      <c r="G9" s="1" t="s">
        <v>149</v>
      </c>
      <c r="H9" s="3">
        <v>1</v>
      </c>
      <c r="I9"/>
      <c r="J9" s="3"/>
      <c r="K9"/>
      <c r="L9" s="3"/>
      <c r="M9" s="3"/>
      <c r="N9" s="3">
        <f t="shared" si="0"/>
        <v>1</v>
      </c>
      <c r="O9" s="41">
        <f t="shared" si="2"/>
        <v>0.16666666666666666</v>
      </c>
      <c r="P9" s="10" t="str">
        <f t="shared" si="1"/>
        <v>||||||</v>
      </c>
      <c r="T9" s="2"/>
    </row>
    <row r="10" spans="1:20" ht="16" x14ac:dyDescent="0.4">
      <c r="A10" s="3">
        <v>8</v>
      </c>
      <c r="B10" s="64" t="s">
        <v>585</v>
      </c>
      <c r="C10" s="64" t="s">
        <v>594</v>
      </c>
      <c r="D10" s="64">
        <v>1</v>
      </c>
      <c r="E10" s="64">
        <v>81234460971</v>
      </c>
      <c r="F10" s="64" t="s">
        <v>96</v>
      </c>
      <c r="G10" s="1" t="s">
        <v>595</v>
      </c>
      <c r="H10" s="3">
        <v>1</v>
      </c>
      <c r="I10">
        <v>1</v>
      </c>
      <c r="J10" s="3">
        <v>1</v>
      </c>
      <c r="K10"/>
      <c r="L10" s="3"/>
      <c r="M10" s="3"/>
      <c r="N10" s="3">
        <f t="shared" si="0"/>
        <v>3</v>
      </c>
      <c r="O10" s="41">
        <f t="shared" si="2"/>
        <v>0.5</v>
      </c>
      <c r="P10" s="10" t="str">
        <f t="shared" si="1"/>
        <v>||||||||||||||||||</v>
      </c>
    </row>
    <row r="11" spans="1:20" ht="16" x14ac:dyDescent="0.4">
      <c r="A11" s="3">
        <v>9</v>
      </c>
      <c r="B11" s="64" t="s">
        <v>442</v>
      </c>
      <c r="C11" s="64" t="s">
        <v>462</v>
      </c>
      <c r="D11" s="64"/>
      <c r="E11" s="64">
        <v>8225743369</v>
      </c>
      <c r="F11" s="64" t="s">
        <v>97</v>
      </c>
      <c r="G11" s="1" t="s">
        <v>149</v>
      </c>
      <c r="H11" s="3">
        <v>1</v>
      </c>
      <c r="I11">
        <v>1</v>
      </c>
      <c r="J11" s="3">
        <v>1</v>
      </c>
      <c r="K11">
        <v>1</v>
      </c>
      <c r="L11" s="3">
        <v>1</v>
      </c>
      <c r="M11" s="3">
        <v>1</v>
      </c>
      <c r="N11" s="3">
        <f t="shared" si="0"/>
        <v>6</v>
      </c>
      <c r="O11" s="41">
        <f t="shared" si="2"/>
        <v>1</v>
      </c>
      <c r="P11" s="10" t="str">
        <f t="shared" si="1"/>
        <v>||||||||||||||||||||||||||||||||||||</v>
      </c>
      <c r="Q11">
        <v>1</v>
      </c>
    </row>
    <row r="12" spans="1:20" ht="16" x14ac:dyDescent="0.4">
      <c r="A12" s="3">
        <v>10</v>
      </c>
      <c r="B12" s="64" t="s">
        <v>584</v>
      </c>
      <c r="C12" s="64" t="s">
        <v>443</v>
      </c>
      <c r="D12" s="64"/>
      <c r="E12" s="64">
        <v>85733701878</v>
      </c>
      <c r="F12" s="64" t="s">
        <v>96</v>
      </c>
      <c r="G12" s="1" t="s">
        <v>149</v>
      </c>
      <c r="H12" s="3">
        <v>1</v>
      </c>
      <c r="I12"/>
      <c r="J12" s="3"/>
      <c r="K12"/>
      <c r="L12" s="3"/>
      <c r="M12" s="3"/>
      <c r="N12" s="3">
        <f t="shared" si="0"/>
        <v>1</v>
      </c>
      <c r="O12" s="41">
        <f t="shared" si="2"/>
        <v>0.16666666666666666</v>
      </c>
      <c r="P12" s="10" t="str">
        <f t="shared" si="1"/>
        <v>||||||</v>
      </c>
    </row>
    <row r="13" spans="1:20" ht="16" x14ac:dyDescent="0.4">
      <c r="A13" s="3">
        <v>11</v>
      </c>
      <c r="B13" s="64" t="s">
        <v>447</v>
      </c>
      <c r="C13" s="64" t="s">
        <v>91</v>
      </c>
      <c r="D13" s="64"/>
      <c r="E13" s="64" t="s">
        <v>430</v>
      </c>
      <c r="F13" s="64" t="s">
        <v>96</v>
      </c>
      <c r="G13" s="1" t="s">
        <v>149</v>
      </c>
      <c r="H13" s="3">
        <v>1</v>
      </c>
      <c r="I13">
        <v>1</v>
      </c>
      <c r="J13" s="3">
        <v>1</v>
      </c>
      <c r="K13"/>
      <c r="L13" s="3"/>
      <c r="M13" s="3">
        <v>1</v>
      </c>
      <c r="N13" s="3">
        <f t="shared" si="0"/>
        <v>4</v>
      </c>
      <c r="O13" s="41">
        <f t="shared" si="2"/>
        <v>0.66666666666666663</v>
      </c>
      <c r="P13" s="10" t="str">
        <f t="shared" si="1"/>
        <v>||||||||||||||||||||||||</v>
      </c>
      <c r="Q13">
        <v>1</v>
      </c>
    </row>
    <row r="14" spans="1:20" ht="16" x14ac:dyDescent="0.4">
      <c r="A14" s="3">
        <v>12</v>
      </c>
      <c r="B14" s="64" t="s">
        <v>429</v>
      </c>
      <c r="C14" s="64" t="s">
        <v>91</v>
      </c>
      <c r="D14" s="64"/>
      <c r="E14" s="64">
        <v>85748645403</v>
      </c>
      <c r="F14" s="64" t="s">
        <v>96</v>
      </c>
      <c r="G14" s="1" t="s">
        <v>149</v>
      </c>
      <c r="H14" s="3">
        <v>1</v>
      </c>
      <c r="I14">
        <v>1</v>
      </c>
      <c r="J14" s="3">
        <v>1</v>
      </c>
      <c r="K14">
        <v>1</v>
      </c>
      <c r="L14" s="3">
        <v>1</v>
      </c>
      <c r="M14" s="3">
        <v>1</v>
      </c>
      <c r="N14" s="3">
        <f t="shared" si="0"/>
        <v>6</v>
      </c>
      <c r="O14" s="41">
        <f t="shared" si="2"/>
        <v>1</v>
      </c>
      <c r="P14" s="10" t="str">
        <f t="shared" si="1"/>
        <v>||||||||||||||||||||||||||||||||||||</v>
      </c>
      <c r="Q14">
        <v>1</v>
      </c>
      <c r="S14">
        <v>1</v>
      </c>
      <c r="T14" t="s">
        <v>26</v>
      </c>
    </row>
    <row r="15" spans="1:20" ht="26" x14ac:dyDescent="0.4">
      <c r="A15" s="3">
        <v>13</v>
      </c>
      <c r="B15" s="64" t="s">
        <v>583</v>
      </c>
      <c r="C15" s="64" t="s">
        <v>437</v>
      </c>
      <c r="D15" s="64"/>
      <c r="E15" s="64">
        <v>8224568973</v>
      </c>
      <c r="F15" s="64" t="s">
        <v>96</v>
      </c>
      <c r="G15" s="1" t="s">
        <v>595</v>
      </c>
      <c r="H15" s="3">
        <v>1</v>
      </c>
      <c r="I15"/>
      <c r="J15" s="3">
        <v>1</v>
      </c>
      <c r="K15">
        <v>1</v>
      </c>
      <c r="L15" s="3"/>
      <c r="M15" s="3">
        <v>1</v>
      </c>
      <c r="N15" s="3">
        <f t="shared" si="0"/>
        <v>4</v>
      </c>
      <c r="O15" s="41">
        <f t="shared" si="2"/>
        <v>0.66666666666666663</v>
      </c>
      <c r="P15" s="10" t="str">
        <f t="shared" si="1"/>
        <v>||||||||||||||||||||||||</v>
      </c>
      <c r="Q15">
        <v>1</v>
      </c>
      <c r="T15" s="34" t="s">
        <v>32</v>
      </c>
    </row>
    <row r="16" spans="1:20" ht="16" x14ac:dyDescent="0.4">
      <c r="A16" s="3">
        <v>14</v>
      </c>
      <c r="B16" s="64" t="s">
        <v>582</v>
      </c>
      <c r="C16" s="64" t="s">
        <v>91</v>
      </c>
      <c r="D16" s="64"/>
      <c r="E16" s="64">
        <v>8785807664</v>
      </c>
      <c r="F16" s="64" t="s">
        <v>96</v>
      </c>
      <c r="G16" s="1" t="s">
        <v>149</v>
      </c>
      <c r="H16" s="3">
        <v>1</v>
      </c>
      <c r="I16">
        <v>1</v>
      </c>
      <c r="J16" s="3"/>
      <c r="K16"/>
      <c r="L16" s="3">
        <v>1</v>
      </c>
      <c r="M16" s="3"/>
      <c r="N16" s="3">
        <f t="shared" si="0"/>
        <v>3</v>
      </c>
      <c r="O16" s="41">
        <f>SUM(H16:M16)/6</f>
        <v>0.5</v>
      </c>
      <c r="P16" s="10"/>
      <c r="T16" s="34"/>
    </row>
    <row r="17" spans="1:20" ht="16" x14ac:dyDescent="0.4">
      <c r="A17" s="3">
        <v>15</v>
      </c>
      <c r="B17" s="64" t="s">
        <v>581</v>
      </c>
      <c r="C17" s="64" t="s">
        <v>91</v>
      </c>
      <c r="D17" s="64"/>
      <c r="E17" s="64">
        <v>81234077800</v>
      </c>
      <c r="F17" s="64" t="s">
        <v>96</v>
      </c>
      <c r="G17" s="1" t="s">
        <v>149</v>
      </c>
      <c r="H17" s="3">
        <v>1</v>
      </c>
      <c r="I17"/>
      <c r="J17" s="3"/>
      <c r="K17"/>
      <c r="L17" s="3"/>
      <c r="M17" s="3"/>
      <c r="N17" s="3">
        <f t="shared" si="0"/>
        <v>1</v>
      </c>
      <c r="O17" s="41">
        <f t="shared" si="2"/>
        <v>0.16666666666666666</v>
      </c>
      <c r="P17" s="10"/>
    </row>
    <row r="18" spans="1:20" ht="16" x14ac:dyDescent="0.4">
      <c r="A18" s="3">
        <v>16</v>
      </c>
      <c r="B18" s="64" t="s">
        <v>457</v>
      </c>
      <c r="C18" s="64" t="s">
        <v>91</v>
      </c>
      <c r="D18" s="64"/>
      <c r="E18" s="64">
        <v>81933001657</v>
      </c>
      <c r="F18" s="64" t="s">
        <v>97</v>
      </c>
      <c r="G18" s="1" t="s">
        <v>149</v>
      </c>
      <c r="H18" s="3">
        <v>1</v>
      </c>
      <c r="I18">
        <v>1</v>
      </c>
      <c r="J18" s="3">
        <v>1</v>
      </c>
      <c r="K18">
        <v>1</v>
      </c>
      <c r="L18" s="3">
        <v>1</v>
      </c>
      <c r="M18" s="3"/>
      <c r="N18" s="3">
        <f t="shared" si="0"/>
        <v>5</v>
      </c>
      <c r="O18" s="41">
        <f>SUM(H18:M18)/6</f>
        <v>0.83333333333333337</v>
      </c>
      <c r="P18" s="10" t="str">
        <f t="shared" ref="P18:P28" si="3">REPT("||||||",N18)</f>
        <v>||||||||||||||||||||||||||||||</v>
      </c>
      <c r="Q18">
        <v>1</v>
      </c>
    </row>
    <row r="19" spans="1:20" ht="29" x14ac:dyDescent="0.4">
      <c r="A19" s="3">
        <v>17</v>
      </c>
      <c r="B19" s="64" t="s">
        <v>580</v>
      </c>
      <c r="C19" s="64" t="s">
        <v>91</v>
      </c>
      <c r="D19" s="64"/>
      <c r="E19" s="64">
        <v>81716139574</v>
      </c>
      <c r="F19" s="64" t="s">
        <v>96</v>
      </c>
      <c r="G19" s="1" t="s">
        <v>149</v>
      </c>
      <c r="H19" s="3">
        <v>1</v>
      </c>
      <c r="I19">
        <v>1</v>
      </c>
      <c r="J19" s="3">
        <v>1</v>
      </c>
      <c r="K19"/>
      <c r="L19" s="3">
        <v>1</v>
      </c>
      <c r="M19" s="3"/>
      <c r="N19" s="3">
        <f t="shared" si="0"/>
        <v>4</v>
      </c>
      <c r="O19" s="41">
        <f t="shared" si="2"/>
        <v>0.66666666666666663</v>
      </c>
      <c r="P19" s="10" t="str">
        <f t="shared" si="3"/>
        <v>||||||||||||||||||||||||</v>
      </c>
    </row>
    <row r="20" spans="1:20" ht="16" x14ac:dyDescent="0.4">
      <c r="A20" s="3">
        <v>18</v>
      </c>
      <c r="B20" s="64" t="s">
        <v>460</v>
      </c>
      <c r="C20" s="64" t="s">
        <v>91</v>
      </c>
      <c r="D20" s="64"/>
      <c r="E20" s="64" t="s">
        <v>430</v>
      </c>
      <c r="F20" s="64" t="s">
        <v>96</v>
      </c>
      <c r="G20" s="1" t="s">
        <v>149</v>
      </c>
      <c r="H20" s="3">
        <v>1</v>
      </c>
      <c r="I20">
        <v>1</v>
      </c>
      <c r="J20" s="3"/>
      <c r="K20">
        <v>1</v>
      </c>
      <c r="L20" s="3">
        <v>1</v>
      </c>
      <c r="M20" s="3">
        <v>1</v>
      </c>
      <c r="N20" s="3">
        <f t="shared" si="0"/>
        <v>5</v>
      </c>
      <c r="O20" s="41">
        <f t="shared" si="2"/>
        <v>0.83333333333333337</v>
      </c>
      <c r="P20" s="10" t="str">
        <f t="shared" si="3"/>
        <v>||||||||||||||||||||||||||||||</v>
      </c>
      <c r="Q20">
        <v>1</v>
      </c>
    </row>
    <row r="21" spans="1:20" ht="16" x14ac:dyDescent="0.4">
      <c r="A21" s="3">
        <v>19</v>
      </c>
      <c r="B21" s="64" t="s">
        <v>450</v>
      </c>
      <c r="C21" s="64" t="s">
        <v>91</v>
      </c>
      <c r="D21" s="64"/>
      <c r="E21" s="64">
        <v>89523420927</v>
      </c>
      <c r="F21" s="64" t="s">
        <v>96</v>
      </c>
      <c r="G21" s="1" t="s">
        <v>149</v>
      </c>
      <c r="H21" s="3">
        <v>1</v>
      </c>
      <c r="I21">
        <v>1</v>
      </c>
      <c r="J21" s="3">
        <v>1</v>
      </c>
      <c r="K21">
        <v>1</v>
      </c>
      <c r="L21" s="3">
        <v>1</v>
      </c>
      <c r="M21" s="3">
        <v>1</v>
      </c>
      <c r="N21" s="3">
        <f t="shared" si="0"/>
        <v>6</v>
      </c>
      <c r="O21" s="41">
        <f t="shared" si="2"/>
        <v>1</v>
      </c>
      <c r="P21" s="10" t="str">
        <f t="shared" si="3"/>
        <v>||||||||||||||||||||||||||||||||||||</v>
      </c>
      <c r="Q21">
        <v>1</v>
      </c>
    </row>
    <row r="22" spans="1:20" ht="26" x14ac:dyDescent="0.4">
      <c r="A22" s="3">
        <v>20</v>
      </c>
      <c r="B22" s="64" t="s">
        <v>204</v>
      </c>
      <c r="C22" s="64" t="s">
        <v>443</v>
      </c>
      <c r="D22" s="64"/>
      <c r="E22" s="64">
        <v>828085723192</v>
      </c>
      <c r="F22" s="64" t="s">
        <v>96</v>
      </c>
      <c r="G22" s="1" t="s">
        <v>149</v>
      </c>
      <c r="H22" s="3">
        <v>1</v>
      </c>
      <c r="I22">
        <v>1</v>
      </c>
      <c r="J22" s="3">
        <v>1</v>
      </c>
      <c r="K22">
        <v>1</v>
      </c>
      <c r="L22" s="3">
        <v>1</v>
      </c>
      <c r="M22" s="3">
        <v>1</v>
      </c>
      <c r="N22" s="3">
        <f t="shared" si="0"/>
        <v>6</v>
      </c>
      <c r="O22" s="41">
        <f t="shared" si="2"/>
        <v>1</v>
      </c>
      <c r="P22" s="10" t="str">
        <f t="shared" si="3"/>
        <v>||||||||||||||||||||||||||||||||||||</v>
      </c>
      <c r="Q22">
        <v>1</v>
      </c>
      <c r="T22" s="34" t="s">
        <v>34</v>
      </c>
    </row>
    <row r="23" spans="1:20" ht="16" x14ac:dyDescent="0.4">
      <c r="A23" s="3">
        <v>21</v>
      </c>
      <c r="B23" s="64" t="s">
        <v>579</v>
      </c>
      <c r="C23" s="64" t="s">
        <v>91</v>
      </c>
      <c r="D23" s="64"/>
      <c r="E23" s="64">
        <v>85708061696</v>
      </c>
      <c r="F23" s="64" t="s">
        <v>97</v>
      </c>
      <c r="G23" s="1" t="s">
        <v>595</v>
      </c>
      <c r="H23" s="3">
        <v>1</v>
      </c>
      <c r="I23">
        <v>1</v>
      </c>
      <c r="J23" s="3">
        <v>1</v>
      </c>
      <c r="K23">
        <v>1</v>
      </c>
      <c r="L23" s="3"/>
      <c r="M23" s="3"/>
      <c r="N23" s="3">
        <f t="shared" si="0"/>
        <v>4</v>
      </c>
      <c r="O23" s="41">
        <f t="shared" si="2"/>
        <v>0.66666666666666663</v>
      </c>
      <c r="P23" s="10" t="str">
        <f t="shared" si="3"/>
        <v>||||||||||||||||||||||||</v>
      </c>
      <c r="Q23">
        <v>1</v>
      </c>
    </row>
    <row r="24" spans="1:20" ht="16" x14ac:dyDescent="0.4">
      <c r="A24" s="3">
        <v>22</v>
      </c>
      <c r="B24" s="64" t="s">
        <v>431</v>
      </c>
      <c r="C24" s="64" t="s">
        <v>593</v>
      </c>
      <c r="D24" s="64"/>
      <c r="E24" s="64">
        <v>8214865267</v>
      </c>
      <c r="F24" s="64" t="s">
        <v>96</v>
      </c>
      <c r="G24" s="1" t="s">
        <v>149</v>
      </c>
      <c r="H24" s="3">
        <v>1</v>
      </c>
      <c r="I24">
        <v>1</v>
      </c>
      <c r="J24" s="3">
        <v>1</v>
      </c>
      <c r="K24">
        <v>1</v>
      </c>
      <c r="L24" s="3">
        <v>1</v>
      </c>
      <c r="M24" s="3">
        <v>1</v>
      </c>
      <c r="N24" s="3">
        <f t="shared" si="0"/>
        <v>6</v>
      </c>
      <c r="O24" s="41">
        <f t="shared" si="2"/>
        <v>1</v>
      </c>
      <c r="P24" s="10" t="str">
        <f t="shared" si="3"/>
        <v>||||||||||||||||||||||||||||||||||||</v>
      </c>
      <c r="Q24">
        <v>1</v>
      </c>
    </row>
    <row r="25" spans="1:20" ht="16" x14ac:dyDescent="0.4">
      <c r="A25" s="3">
        <v>23</v>
      </c>
      <c r="B25" s="64" t="s">
        <v>578</v>
      </c>
      <c r="C25" s="64" t="s">
        <v>593</v>
      </c>
      <c r="D25" s="64"/>
      <c r="E25" s="64">
        <v>81232390150</v>
      </c>
      <c r="F25" s="64" t="s">
        <v>96</v>
      </c>
      <c r="G25" s="1" t="s">
        <v>149</v>
      </c>
      <c r="H25" s="3">
        <v>1</v>
      </c>
      <c r="I25">
        <v>1</v>
      </c>
      <c r="J25" s="3"/>
      <c r="K25">
        <v>1</v>
      </c>
      <c r="L25" s="3">
        <v>1</v>
      </c>
      <c r="M25" s="3">
        <v>1</v>
      </c>
      <c r="N25" s="3">
        <f t="shared" si="0"/>
        <v>5</v>
      </c>
      <c r="O25" s="41">
        <f t="shared" si="2"/>
        <v>0.83333333333333337</v>
      </c>
      <c r="P25" s="10" t="str">
        <f t="shared" si="3"/>
        <v>||||||||||||||||||||||||||||||</v>
      </c>
    </row>
    <row r="26" spans="1:20" ht="16" x14ac:dyDescent="0.4">
      <c r="A26" s="3">
        <v>24</v>
      </c>
      <c r="B26" s="64" t="s">
        <v>445</v>
      </c>
      <c r="C26" s="64" t="s">
        <v>91</v>
      </c>
      <c r="D26" s="64"/>
      <c r="E26" s="64">
        <v>81230979144</v>
      </c>
      <c r="F26" s="64" t="s">
        <v>96</v>
      </c>
      <c r="G26" s="1" t="s">
        <v>149</v>
      </c>
      <c r="H26" s="3">
        <v>1</v>
      </c>
      <c r="I26">
        <v>1</v>
      </c>
      <c r="J26" s="3">
        <v>1</v>
      </c>
      <c r="K26">
        <v>1</v>
      </c>
      <c r="L26" s="3"/>
      <c r="M26" s="3">
        <v>1</v>
      </c>
      <c r="N26" s="3">
        <f t="shared" si="0"/>
        <v>5</v>
      </c>
      <c r="O26" s="41">
        <f t="shared" si="2"/>
        <v>0.83333333333333337</v>
      </c>
      <c r="P26" s="10" t="str">
        <f t="shared" si="3"/>
        <v>||||||||||||||||||||||||||||||</v>
      </c>
      <c r="Q26">
        <v>1</v>
      </c>
      <c r="S26">
        <v>0</v>
      </c>
      <c r="T26" t="s">
        <v>27</v>
      </c>
    </row>
    <row r="27" spans="1:20" ht="16" x14ac:dyDescent="0.4">
      <c r="A27" s="3">
        <v>25</v>
      </c>
      <c r="B27" s="64" t="s">
        <v>577</v>
      </c>
      <c r="C27" s="64" t="s">
        <v>91</v>
      </c>
      <c r="D27" s="64"/>
      <c r="E27" s="64">
        <v>85602146681</v>
      </c>
      <c r="F27" s="64" t="s">
        <v>96</v>
      </c>
      <c r="G27" s="1" t="s">
        <v>149</v>
      </c>
      <c r="H27" s="3">
        <v>1</v>
      </c>
      <c r="I27">
        <v>1</v>
      </c>
      <c r="J27" s="3">
        <v>1</v>
      </c>
      <c r="K27">
        <v>1</v>
      </c>
      <c r="L27" s="3">
        <v>1</v>
      </c>
      <c r="M27" s="3"/>
      <c r="N27" s="3">
        <f t="shared" si="0"/>
        <v>5</v>
      </c>
      <c r="O27" s="41">
        <f t="shared" si="2"/>
        <v>0.83333333333333337</v>
      </c>
      <c r="P27" s="10" t="str">
        <f t="shared" si="3"/>
        <v>||||||||||||||||||||||||||||||</v>
      </c>
    </row>
    <row r="28" spans="1:20" ht="16" x14ac:dyDescent="0.4">
      <c r="A28" s="3">
        <v>26</v>
      </c>
      <c r="B28" s="64" t="s">
        <v>157</v>
      </c>
      <c r="C28" s="64" t="s">
        <v>91</v>
      </c>
      <c r="D28" s="64"/>
      <c r="E28" s="64">
        <v>82245935626</v>
      </c>
      <c r="F28" s="64" t="s">
        <v>96</v>
      </c>
      <c r="G28" s="1" t="s">
        <v>595</v>
      </c>
      <c r="H28" s="3">
        <v>1</v>
      </c>
      <c r="I28">
        <v>1</v>
      </c>
      <c r="J28" s="3"/>
      <c r="K28">
        <v>1</v>
      </c>
      <c r="L28" s="3"/>
      <c r="M28" s="3"/>
      <c r="N28" s="3">
        <f t="shared" si="0"/>
        <v>3</v>
      </c>
      <c r="O28" s="41">
        <f t="shared" si="2"/>
        <v>0.5</v>
      </c>
      <c r="P28" s="10" t="str">
        <f t="shared" si="3"/>
        <v>||||||||||||||||||</v>
      </c>
    </row>
    <row r="29" spans="1:20" ht="16" x14ac:dyDescent="0.4">
      <c r="A29" s="3">
        <v>27</v>
      </c>
      <c r="B29" s="64" t="s">
        <v>576</v>
      </c>
      <c r="C29" s="64" t="s">
        <v>91</v>
      </c>
      <c r="D29" s="64"/>
      <c r="E29" s="64">
        <v>81239080741</v>
      </c>
      <c r="F29" s="64" t="s">
        <v>96</v>
      </c>
      <c r="G29" s="1" t="s">
        <v>149</v>
      </c>
      <c r="H29" s="3">
        <v>1</v>
      </c>
      <c r="I29"/>
      <c r="J29" s="3">
        <v>1</v>
      </c>
      <c r="K29">
        <v>1</v>
      </c>
      <c r="L29" s="3">
        <v>1</v>
      </c>
      <c r="M29" s="3"/>
      <c r="N29" s="3">
        <f t="shared" si="0"/>
        <v>4</v>
      </c>
      <c r="O29" s="41">
        <f t="shared" si="2"/>
        <v>0.66666666666666663</v>
      </c>
      <c r="P29" s="10"/>
    </row>
    <row r="30" spans="1:20" ht="16" x14ac:dyDescent="0.4">
      <c r="A30" s="3">
        <v>28</v>
      </c>
      <c r="B30" s="64" t="s">
        <v>441</v>
      </c>
      <c r="C30" s="64" t="s">
        <v>91</v>
      </c>
      <c r="D30" s="64"/>
      <c r="E30" s="64">
        <v>85745417544</v>
      </c>
      <c r="F30" s="64" t="s">
        <v>96</v>
      </c>
      <c r="G30" s="1" t="s">
        <v>149</v>
      </c>
      <c r="H30" s="3">
        <v>1</v>
      </c>
      <c r="I30">
        <v>1</v>
      </c>
      <c r="J30" s="3">
        <v>1</v>
      </c>
      <c r="K30"/>
      <c r="L30" s="3">
        <v>1</v>
      </c>
      <c r="M30" s="3">
        <v>1</v>
      </c>
      <c r="N30" s="3">
        <f t="shared" si="0"/>
        <v>5</v>
      </c>
      <c r="O30" s="41">
        <f t="shared" si="2"/>
        <v>0.83333333333333337</v>
      </c>
      <c r="P30" s="10" t="str">
        <f t="shared" ref="P30" si="4">REPT("|",N30)</f>
        <v>|||||</v>
      </c>
      <c r="Q30">
        <v>1</v>
      </c>
    </row>
    <row r="31" spans="1:20" ht="16" x14ac:dyDescent="0.4">
      <c r="A31" s="3">
        <v>29</v>
      </c>
      <c r="B31" s="64" t="s">
        <v>575</v>
      </c>
      <c r="C31" s="64" t="s">
        <v>91</v>
      </c>
      <c r="D31" s="64"/>
      <c r="E31" s="64">
        <v>81339731791</v>
      </c>
      <c r="F31" s="64" t="s">
        <v>96</v>
      </c>
      <c r="G31" s="1" t="s">
        <v>149</v>
      </c>
      <c r="H31" s="3">
        <v>1</v>
      </c>
      <c r="I31">
        <v>1</v>
      </c>
      <c r="J31" s="3">
        <v>1</v>
      </c>
      <c r="K31">
        <v>1</v>
      </c>
      <c r="L31" s="3">
        <v>1</v>
      </c>
      <c r="M31" s="3">
        <v>1</v>
      </c>
      <c r="N31" s="3">
        <f t="shared" si="0"/>
        <v>6</v>
      </c>
      <c r="O31" s="41">
        <f t="shared" ref="O31:O40" si="5">SUM(H31:M31)/6</f>
        <v>1</v>
      </c>
      <c r="P31" s="10"/>
    </row>
    <row r="32" spans="1:20" ht="16" x14ac:dyDescent="0.4">
      <c r="A32" s="3">
        <v>30</v>
      </c>
      <c r="B32" s="113" t="s">
        <v>448</v>
      </c>
      <c r="C32" t="s">
        <v>91</v>
      </c>
      <c r="E32" s="64"/>
      <c r="F32" s="64" t="s">
        <v>96</v>
      </c>
      <c r="G32" s="1" t="s">
        <v>149</v>
      </c>
      <c r="H32" s="3"/>
      <c r="I32">
        <v>1</v>
      </c>
      <c r="J32" s="3">
        <v>1</v>
      </c>
      <c r="K32">
        <v>1</v>
      </c>
      <c r="L32" s="3">
        <v>1</v>
      </c>
      <c r="M32" s="3">
        <v>1</v>
      </c>
      <c r="N32" s="3">
        <f t="shared" si="0"/>
        <v>5</v>
      </c>
      <c r="O32" s="41">
        <f t="shared" si="5"/>
        <v>0.83333333333333337</v>
      </c>
      <c r="P32" s="10"/>
    </row>
    <row r="33" spans="1:16" ht="16" x14ac:dyDescent="0.4">
      <c r="A33" s="3">
        <v>31</v>
      </c>
      <c r="B33" s="113" t="s">
        <v>623</v>
      </c>
      <c r="C33" t="s">
        <v>91</v>
      </c>
      <c r="E33" s="64"/>
      <c r="F33" s="64" t="s">
        <v>96</v>
      </c>
      <c r="G33" s="1" t="s">
        <v>149</v>
      </c>
      <c r="H33" s="3"/>
      <c r="I33">
        <v>1</v>
      </c>
      <c r="J33" s="3">
        <v>1</v>
      </c>
      <c r="K33">
        <v>1</v>
      </c>
      <c r="L33" s="3">
        <v>1</v>
      </c>
      <c r="M33" s="3">
        <v>1</v>
      </c>
      <c r="N33" s="3">
        <f t="shared" si="0"/>
        <v>5</v>
      </c>
      <c r="O33" s="41">
        <f t="shared" si="5"/>
        <v>0.83333333333333337</v>
      </c>
      <c r="P33" s="10"/>
    </row>
    <row r="34" spans="1:16" ht="16" x14ac:dyDescent="0.4">
      <c r="A34" s="3">
        <v>32</v>
      </c>
      <c r="B34" s="113" t="s">
        <v>624</v>
      </c>
      <c r="C34" t="s">
        <v>191</v>
      </c>
      <c r="D34">
        <v>1</v>
      </c>
      <c r="E34" s="64"/>
      <c r="F34" s="64" t="s">
        <v>96</v>
      </c>
      <c r="G34" s="1" t="s">
        <v>149</v>
      </c>
      <c r="H34" s="3"/>
      <c r="I34">
        <v>1</v>
      </c>
      <c r="J34" s="3">
        <v>1</v>
      </c>
      <c r="K34"/>
      <c r="L34" s="3">
        <v>1</v>
      </c>
      <c r="M34" s="3"/>
      <c r="N34" s="3">
        <f t="shared" si="0"/>
        <v>3</v>
      </c>
      <c r="O34" s="41">
        <f t="shared" si="5"/>
        <v>0.5</v>
      </c>
      <c r="P34" s="10"/>
    </row>
    <row r="35" spans="1:16" ht="16" x14ac:dyDescent="0.4">
      <c r="A35" s="3">
        <v>33</v>
      </c>
      <c r="B35" s="113" t="s">
        <v>625</v>
      </c>
      <c r="C35" t="s">
        <v>191</v>
      </c>
      <c r="D35">
        <v>1</v>
      </c>
      <c r="E35" s="64"/>
      <c r="F35" s="64" t="s">
        <v>96</v>
      </c>
      <c r="G35" s="1" t="s">
        <v>149</v>
      </c>
      <c r="H35" s="3"/>
      <c r="I35">
        <v>1</v>
      </c>
      <c r="J35" s="3">
        <v>1</v>
      </c>
      <c r="K35"/>
      <c r="L35" s="3"/>
      <c r="M35" s="3"/>
      <c r="N35" s="3">
        <f t="shared" si="0"/>
        <v>2</v>
      </c>
      <c r="O35" s="41">
        <f t="shared" si="5"/>
        <v>0.33333333333333331</v>
      </c>
      <c r="P35" s="10"/>
    </row>
    <row r="36" spans="1:16" ht="16" x14ac:dyDescent="0.4">
      <c r="A36" s="3">
        <v>34</v>
      </c>
      <c r="B36" s="113" t="s">
        <v>88</v>
      </c>
      <c r="C36" t="s">
        <v>58</v>
      </c>
      <c r="E36" s="64"/>
      <c r="F36" s="64" t="s">
        <v>97</v>
      </c>
      <c r="G36" s="1" t="s">
        <v>595</v>
      </c>
      <c r="H36" s="3"/>
      <c r="I36">
        <v>1</v>
      </c>
      <c r="J36" s="3">
        <v>1</v>
      </c>
      <c r="K36"/>
      <c r="L36" s="3"/>
      <c r="M36" s="3"/>
      <c r="N36" s="3">
        <f t="shared" si="0"/>
        <v>2</v>
      </c>
      <c r="O36" s="41">
        <f t="shared" si="5"/>
        <v>0.33333333333333331</v>
      </c>
      <c r="P36" s="10"/>
    </row>
    <row r="37" spans="1:16" ht="16" x14ac:dyDescent="0.4">
      <c r="A37" s="3">
        <v>35</v>
      </c>
      <c r="B37" s="113" t="s">
        <v>626</v>
      </c>
      <c r="C37" t="s">
        <v>437</v>
      </c>
      <c r="E37" s="64"/>
      <c r="F37" s="64" t="s">
        <v>96</v>
      </c>
      <c r="G37" s="1" t="s">
        <v>149</v>
      </c>
      <c r="H37" s="3"/>
      <c r="I37">
        <v>1</v>
      </c>
      <c r="J37" s="3">
        <v>1</v>
      </c>
      <c r="K37">
        <v>1</v>
      </c>
      <c r="L37" s="3"/>
      <c r="M37" s="3">
        <v>1</v>
      </c>
      <c r="N37" s="3">
        <f t="shared" si="0"/>
        <v>4</v>
      </c>
      <c r="O37" s="41">
        <f t="shared" si="5"/>
        <v>0.66666666666666663</v>
      </c>
      <c r="P37" s="10"/>
    </row>
    <row r="38" spans="1:16" ht="16" x14ac:dyDescent="0.4">
      <c r="A38" s="3">
        <v>36</v>
      </c>
      <c r="B38" s="113" t="s">
        <v>627</v>
      </c>
      <c r="C38" t="s">
        <v>437</v>
      </c>
      <c r="E38" s="64"/>
      <c r="F38" s="64" t="s">
        <v>96</v>
      </c>
      <c r="G38" s="1" t="s">
        <v>149</v>
      </c>
      <c r="H38" s="3"/>
      <c r="I38">
        <v>1</v>
      </c>
      <c r="J38" s="3"/>
      <c r="K38"/>
      <c r="L38" s="3"/>
      <c r="M38" s="3"/>
      <c r="N38" s="3">
        <f t="shared" si="0"/>
        <v>1</v>
      </c>
      <c r="O38" s="41">
        <f t="shared" si="5"/>
        <v>0.16666666666666666</v>
      </c>
      <c r="P38" s="10"/>
    </row>
    <row r="39" spans="1:16" ht="16" x14ac:dyDescent="0.4">
      <c r="A39" s="3">
        <v>37</v>
      </c>
      <c r="B39" s="113" t="s">
        <v>458</v>
      </c>
      <c r="C39" t="s">
        <v>443</v>
      </c>
      <c r="E39" s="64"/>
      <c r="F39" s="64" t="s">
        <v>96</v>
      </c>
      <c r="G39" s="1" t="s">
        <v>149</v>
      </c>
      <c r="H39" s="3"/>
      <c r="I39">
        <v>1</v>
      </c>
      <c r="J39" s="3">
        <v>1</v>
      </c>
      <c r="K39">
        <v>1</v>
      </c>
      <c r="L39" s="3">
        <v>1</v>
      </c>
      <c r="M39" s="3">
        <v>1</v>
      </c>
      <c r="N39" s="3">
        <f t="shared" si="0"/>
        <v>5</v>
      </c>
      <c r="O39" s="41">
        <f t="shared" si="5"/>
        <v>0.83333333333333337</v>
      </c>
      <c r="P39" s="10"/>
    </row>
    <row r="40" spans="1:16" ht="16" x14ac:dyDescent="0.4">
      <c r="A40" s="3">
        <v>38</v>
      </c>
      <c r="B40" s="113" t="s">
        <v>628</v>
      </c>
      <c r="C40" t="s">
        <v>629</v>
      </c>
      <c r="E40" s="64"/>
      <c r="F40" s="64" t="s">
        <v>96</v>
      </c>
      <c r="G40" s="1" t="s">
        <v>149</v>
      </c>
      <c r="H40" s="3"/>
      <c r="I40">
        <v>1</v>
      </c>
      <c r="J40" s="3">
        <v>1</v>
      </c>
      <c r="K40"/>
      <c r="L40" s="3"/>
      <c r="M40" s="3"/>
      <c r="N40" s="3">
        <f t="shared" si="0"/>
        <v>2</v>
      </c>
      <c r="O40" s="41">
        <f t="shared" si="5"/>
        <v>0.33333333333333331</v>
      </c>
      <c r="P40" s="10"/>
    </row>
    <row r="41" spans="1:16" ht="16" x14ac:dyDescent="0.4">
      <c r="A41" s="3">
        <v>39</v>
      </c>
      <c r="B41" s="119" t="s">
        <v>767</v>
      </c>
      <c r="C41" t="s">
        <v>769</v>
      </c>
      <c r="E41" s="64"/>
      <c r="F41" s="64" t="s">
        <v>96</v>
      </c>
      <c r="G41" s="1" t="s">
        <v>149</v>
      </c>
      <c r="H41" s="3"/>
      <c r="I41"/>
      <c r="J41" s="3">
        <v>1</v>
      </c>
      <c r="K41"/>
      <c r="L41" s="3"/>
      <c r="M41" s="3"/>
      <c r="N41" s="3"/>
      <c r="O41" s="41"/>
      <c r="P41" s="10"/>
    </row>
    <row r="42" spans="1:16" ht="16" x14ac:dyDescent="0.4">
      <c r="A42" s="3">
        <v>40</v>
      </c>
      <c r="B42" s="119" t="s">
        <v>768</v>
      </c>
      <c r="C42" t="s">
        <v>770</v>
      </c>
      <c r="D42">
        <v>1</v>
      </c>
      <c r="E42" s="64"/>
      <c r="F42" s="64" t="s">
        <v>96</v>
      </c>
      <c r="G42" s="1" t="s">
        <v>149</v>
      </c>
      <c r="H42" s="3"/>
      <c r="I42"/>
      <c r="J42" s="3">
        <v>1</v>
      </c>
      <c r="K42"/>
      <c r="L42" s="3"/>
      <c r="M42" s="3"/>
      <c r="N42" s="3"/>
      <c r="O42" s="41"/>
      <c r="P42" s="10"/>
    </row>
    <row r="43" spans="1:16" ht="16" x14ac:dyDescent="0.4">
      <c r="A43" s="3">
        <v>41</v>
      </c>
      <c r="B43" s="119" t="s">
        <v>130</v>
      </c>
      <c r="C43" t="s">
        <v>58</v>
      </c>
      <c r="D43">
        <v>1</v>
      </c>
      <c r="E43" s="64"/>
      <c r="F43" s="64" t="s">
        <v>96</v>
      </c>
      <c r="G43" s="1" t="s">
        <v>149</v>
      </c>
      <c r="H43" s="3"/>
      <c r="I43"/>
      <c r="J43" s="3">
        <v>1</v>
      </c>
      <c r="K43"/>
      <c r="L43" s="3"/>
      <c r="M43" s="3"/>
      <c r="N43" s="3"/>
      <c r="O43" s="41"/>
      <c r="P43" s="10"/>
    </row>
    <row r="44" spans="1:16" ht="16" x14ac:dyDescent="0.4">
      <c r="A44" s="3">
        <v>42</v>
      </c>
      <c r="B44" s="119" t="s">
        <v>771</v>
      </c>
      <c r="C44" t="s">
        <v>91</v>
      </c>
      <c r="E44" s="64"/>
      <c r="F44" s="64" t="s">
        <v>96</v>
      </c>
      <c r="G44" s="1" t="s">
        <v>149</v>
      </c>
      <c r="H44" s="3"/>
      <c r="I44"/>
      <c r="J44" s="3">
        <v>1</v>
      </c>
      <c r="K44">
        <v>1</v>
      </c>
      <c r="L44" s="3"/>
      <c r="M44" s="3"/>
      <c r="N44" s="3"/>
      <c r="O44" s="41"/>
      <c r="P44" s="10"/>
    </row>
    <row r="45" spans="1:16" ht="16" x14ac:dyDescent="0.4">
      <c r="A45" s="3">
        <v>43</v>
      </c>
      <c r="B45" s="113" t="s">
        <v>444</v>
      </c>
      <c r="C45" t="s">
        <v>91</v>
      </c>
      <c r="E45" s="64"/>
      <c r="F45" s="64" t="s">
        <v>96</v>
      </c>
      <c r="G45" s="1" t="s">
        <v>149</v>
      </c>
      <c r="H45" s="3"/>
      <c r="I45"/>
      <c r="J45" s="3">
        <v>1</v>
      </c>
      <c r="K45">
        <v>1</v>
      </c>
      <c r="L45" s="3"/>
      <c r="M45" s="3">
        <v>1</v>
      </c>
      <c r="N45" s="3"/>
      <c r="O45" s="41"/>
      <c r="P45" s="10"/>
    </row>
    <row r="46" spans="1:16" ht="16" x14ac:dyDescent="0.4">
      <c r="A46" s="3">
        <v>44</v>
      </c>
      <c r="B46" s="128" t="s">
        <v>1088</v>
      </c>
      <c r="C46" t="s">
        <v>1103</v>
      </c>
      <c r="D46">
        <v>1</v>
      </c>
      <c r="E46" s="64"/>
      <c r="F46" s="64" t="s">
        <v>96</v>
      </c>
      <c r="G46" s="1" t="s">
        <v>149</v>
      </c>
      <c r="H46" s="3"/>
      <c r="I46"/>
      <c r="J46" s="3"/>
      <c r="K46"/>
      <c r="L46" s="3"/>
      <c r="M46" s="3">
        <v>1</v>
      </c>
      <c r="N46" s="3"/>
      <c r="O46" s="41"/>
      <c r="P46" s="10"/>
    </row>
    <row r="47" spans="1:16" ht="16" x14ac:dyDescent="0.4">
      <c r="A47" s="3">
        <v>45</v>
      </c>
      <c r="B47" s="128" t="s">
        <v>1089</v>
      </c>
      <c r="C47" t="s">
        <v>1103</v>
      </c>
      <c r="D47">
        <v>1</v>
      </c>
      <c r="E47" s="64"/>
      <c r="F47" s="64" t="s">
        <v>96</v>
      </c>
      <c r="G47" s="1" t="s">
        <v>149</v>
      </c>
      <c r="H47" s="3"/>
      <c r="I47"/>
      <c r="J47" s="3"/>
      <c r="K47"/>
      <c r="L47" s="3"/>
      <c r="M47" s="3">
        <v>1</v>
      </c>
      <c r="N47" s="3"/>
      <c r="O47" s="41"/>
      <c r="P47" s="10"/>
    </row>
    <row r="48" spans="1:16" ht="16" x14ac:dyDescent="0.4">
      <c r="A48" s="3">
        <v>46</v>
      </c>
      <c r="B48" s="128" t="s">
        <v>1090</v>
      </c>
      <c r="C48" t="s">
        <v>1104</v>
      </c>
      <c r="E48" s="64"/>
      <c r="F48" s="64" t="s">
        <v>96</v>
      </c>
      <c r="G48" s="1" t="s">
        <v>149</v>
      </c>
      <c r="H48" s="3"/>
      <c r="I48"/>
      <c r="J48" s="3"/>
      <c r="K48"/>
      <c r="L48" s="3"/>
      <c r="M48" s="3">
        <v>1</v>
      </c>
      <c r="N48" s="3"/>
      <c r="O48" s="41"/>
      <c r="P48" s="10"/>
    </row>
    <row r="49" spans="1:16" ht="16" x14ac:dyDescent="0.4">
      <c r="A49" s="3">
        <v>47</v>
      </c>
      <c r="B49" s="128" t="s">
        <v>1091</v>
      </c>
      <c r="C49" t="s">
        <v>1104</v>
      </c>
      <c r="E49" s="64"/>
      <c r="F49" s="64" t="s">
        <v>96</v>
      </c>
      <c r="G49" s="1" t="s">
        <v>149</v>
      </c>
      <c r="H49" s="3"/>
      <c r="I49"/>
      <c r="J49" s="3"/>
      <c r="K49"/>
      <c r="L49" s="3"/>
      <c r="M49" s="3">
        <v>1</v>
      </c>
      <c r="N49" s="3"/>
      <c r="O49" s="41"/>
      <c r="P49" s="10"/>
    </row>
    <row r="50" spans="1:16" ht="16" x14ac:dyDescent="0.4">
      <c r="A50" s="3">
        <v>48</v>
      </c>
      <c r="B50" s="128" t="s">
        <v>1092</v>
      </c>
      <c r="C50" t="s">
        <v>1104</v>
      </c>
      <c r="E50" s="64"/>
      <c r="F50" s="64" t="s">
        <v>96</v>
      </c>
      <c r="G50" s="1" t="s">
        <v>149</v>
      </c>
      <c r="H50" s="3"/>
      <c r="I50"/>
      <c r="J50" s="3"/>
      <c r="K50"/>
      <c r="L50" s="3"/>
      <c r="M50" s="3">
        <v>1</v>
      </c>
      <c r="N50" s="3"/>
      <c r="O50" s="41"/>
      <c r="P50" s="10"/>
    </row>
    <row r="51" spans="1:16" ht="16" x14ac:dyDescent="0.4">
      <c r="A51" s="3">
        <v>49</v>
      </c>
      <c r="B51" s="128" t="s">
        <v>1093</v>
      </c>
      <c r="C51" t="s">
        <v>1105</v>
      </c>
      <c r="E51" s="64"/>
      <c r="F51" s="64" t="s">
        <v>96</v>
      </c>
      <c r="G51" s="1" t="s">
        <v>149</v>
      </c>
      <c r="H51" s="3"/>
      <c r="I51"/>
      <c r="J51" s="3"/>
      <c r="K51"/>
      <c r="L51" s="3"/>
      <c r="M51" s="3">
        <v>1</v>
      </c>
      <c r="N51" s="3"/>
      <c r="O51" s="41"/>
      <c r="P51" s="10"/>
    </row>
    <row r="52" spans="1:16" ht="16" x14ac:dyDescent="0.4">
      <c r="A52" s="3">
        <v>50</v>
      </c>
      <c r="B52" s="128" t="s">
        <v>1094</v>
      </c>
      <c r="C52" t="s">
        <v>1106</v>
      </c>
      <c r="E52" s="64"/>
      <c r="F52" s="64" t="s">
        <v>96</v>
      </c>
      <c r="G52" s="1" t="s">
        <v>149</v>
      </c>
      <c r="H52" s="3"/>
      <c r="I52"/>
      <c r="J52" s="3"/>
      <c r="K52"/>
      <c r="L52" s="3"/>
      <c r="M52" s="3">
        <v>1</v>
      </c>
      <c r="N52" s="3"/>
      <c r="O52" s="41"/>
      <c r="P52" s="10"/>
    </row>
    <row r="53" spans="1:16" ht="16" x14ac:dyDescent="0.4">
      <c r="A53" s="3">
        <v>51</v>
      </c>
      <c r="B53" s="128" t="s">
        <v>1095</v>
      </c>
      <c r="C53" t="s">
        <v>1106</v>
      </c>
      <c r="E53" s="64"/>
      <c r="F53" s="64" t="s">
        <v>96</v>
      </c>
      <c r="G53" s="1" t="s">
        <v>149</v>
      </c>
      <c r="H53" s="3"/>
      <c r="I53"/>
      <c r="J53" s="3"/>
      <c r="K53"/>
      <c r="L53" s="3"/>
      <c r="M53" s="3">
        <v>1</v>
      </c>
      <c r="N53" s="3"/>
      <c r="O53" s="41"/>
      <c r="P53" s="10"/>
    </row>
    <row r="54" spans="1:16" ht="16" x14ac:dyDescent="0.4">
      <c r="A54" s="3">
        <v>52</v>
      </c>
      <c r="B54" s="128" t="s">
        <v>1096</v>
      </c>
      <c r="C54" t="s">
        <v>1107</v>
      </c>
      <c r="E54" s="64"/>
      <c r="F54" s="64" t="s">
        <v>96</v>
      </c>
      <c r="G54" s="1" t="s">
        <v>149</v>
      </c>
      <c r="H54" s="3"/>
      <c r="I54"/>
      <c r="J54" s="3"/>
      <c r="K54"/>
      <c r="L54" s="3"/>
      <c r="M54" s="3">
        <v>1</v>
      </c>
      <c r="N54" s="3"/>
      <c r="O54" s="41"/>
      <c r="P54" s="10"/>
    </row>
    <row r="55" spans="1:16" ht="16" x14ac:dyDescent="0.4">
      <c r="A55" s="3">
        <v>53</v>
      </c>
      <c r="B55" s="128" t="s">
        <v>1097</v>
      </c>
      <c r="C55" t="s">
        <v>1108</v>
      </c>
      <c r="E55" s="64"/>
      <c r="F55" s="64" t="s">
        <v>96</v>
      </c>
      <c r="G55" s="1" t="s">
        <v>149</v>
      </c>
      <c r="H55" s="3"/>
      <c r="I55"/>
      <c r="J55" s="3"/>
      <c r="K55"/>
      <c r="L55" s="3"/>
      <c r="M55" s="3">
        <v>1</v>
      </c>
      <c r="N55" s="3"/>
      <c r="O55" s="41"/>
      <c r="P55" s="10"/>
    </row>
    <row r="56" spans="1:16" ht="16" x14ac:dyDescent="0.4">
      <c r="A56" s="3">
        <v>54</v>
      </c>
      <c r="B56" s="128" t="s">
        <v>1098</v>
      </c>
      <c r="C56" t="s">
        <v>1109</v>
      </c>
      <c r="E56" s="64"/>
      <c r="F56" s="64" t="s">
        <v>96</v>
      </c>
      <c r="G56" s="1" t="s">
        <v>149</v>
      </c>
      <c r="H56" s="3"/>
      <c r="I56"/>
      <c r="J56" s="3"/>
      <c r="K56"/>
      <c r="L56" s="3"/>
      <c r="M56" s="3">
        <v>1</v>
      </c>
      <c r="N56" s="3"/>
      <c r="O56" s="41"/>
      <c r="P56" s="10"/>
    </row>
    <row r="57" spans="1:16" ht="16" x14ac:dyDescent="0.4">
      <c r="A57" s="3">
        <v>55</v>
      </c>
      <c r="B57" s="128" t="s">
        <v>1099</v>
      </c>
      <c r="C57" t="s">
        <v>260</v>
      </c>
      <c r="E57" s="64"/>
      <c r="F57" s="64" t="s">
        <v>96</v>
      </c>
      <c r="G57" s="1" t="s">
        <v>149</v>
      </c>
      <c r="H57" s="3"/>
      <c r="I57"/>
      <c r="J57" s="3"/>
      <c r="K57"/>
      <c r="L57" s="3"/>
      <c r="M57" s="3">
        <v>1</v>
      </c>
      <c r="N57" s="3"/>
      <c r="O57" s="41"/>
      <c r="P57" s="10"/>
    </row>
    <row r="58" spans="1:16" ht="16" x14ac:dyDescent="0.4">
      <c r="A58" s="3">
        <v>56</v>
      </c>
      <c r="B58" s="128" t="s">
        <v>1100</v>
      </c>
      <c r="C58" t="s">
        <v>1110</v>
      </c>
      <c r="E58" s="64"/>
      <c r="F58" s="64" t="s">
        <v>96</v>
      </c>
      <c r="G58" s="1" t="s">
        <v>149</v>
      </c>
      <c r="H58" s="3"/>
      <c r="I58"/>
      <c r="J58" s="3"/>
      <c r="K58"/>
      <c r="L58" s="3"/>
      <c r="M58" s="3">
        <v>1</v>
      </c>
      <c r="N58" s="3"/>
      <c r="O58" s="41"/>
      <c r="P58" s="10"/>
    </row>
    <row r="59" spans="1:16" ht="16" x14ac:dyDescent="0.4">
      <c r="A59" s="3">
        <v>57</v>
      </c>
      <c r="B59" s="128" t="s">
        <v>1101</v>
      </c>
      <c r="C59" t="s">
        <v>1111</v>
      </c>
      <c r="E59" s="64"/>
      <c r="F59" s="64" t="s">
        <v>96</v>
      </c>
      <c r="G59" s="1" t="s">
        <v>149</v>
      </c>
      <c r="H59" s="3"/>
      <c r="I59"/>
      <c r="J59" s="3"/>
      <c r="K59"/>
      <c r="L59" s="3"/>
      <c r="M59" s="3">
        <v>1</v>
      </c>
      <c r="N59" s="3"/>
      <c r="O59" s="41"/>
      <c r="P59" s="10"/>
    </row>
    <row r="60" spans="1:16" ht="16" x14ac:dyDescent="0.4">
      <c r="A60" s="3">
        <v>58</v>
      </c>
      <c r="B60" s="128" t="s">
        <v>991</v>
      </c>
      <c r="C60" t="s">
        <v>1112</v>
      </c>
      <c r="E60" s="64"/>
      <c r="F60" s="64" t="s">
        <v>96</v>
      </c>
      <c r="G60" s="1" t="s">
        <v>149</v>
      </c>
      <c r="H60" s="3"/>
      <c r="I60"/>
      <c r="J60" s="3"/>
      <c r="K60"/>
      <c r="L60" s="3"/>
      <c r="M60" s="3">
        <v>1</v>
      </c>
      <c r="N60" s="3"/>
      <c r="O60" s="41"/>
      <c r="P60" s="10"/>
    </row>
    <row r="61" spans="1:16" ht="16" x14ac:dyDescent="0.4">
      <c r="A61" s="3">
        <v>59</v>
      </c>
      <c r="B61" s="128" t="s">
        <v>1102</v>
      </c>
      <c r="C61" t="s">
        <v>462</v>
      </c>
      <c r="E61" s="64"/>
      <c r="F61" s="64" t="s">
        <v>97</v>
      </c>
      <c r="G61" s="1" t="s">
        <v>149</v>
      </c>
      <c r="H61" s="3"/>
      <c r="I61"/>
      <c r="J61" s="3"/>
      <c r="K61"/>
      <c r="L61" s="3"/>
      <c r="M61" s="3">
        <v>1</v>
      </c>
      <c r="N61" s="3"/>
      <c r="O61" s="41"/>
      <c r="P61" s="10"/>
    </row>
    <row r="62" spans="1:16" ht="16" x14ac:dyDescent="0.4">
      <c r="A62" s="3">
        <v>60</v>
      </c>
      <c r="B62" s="128" t="s">
        <v>433</v>
      </c>
      <c r="C62" t="s">
        <v>91</v>
      </c>
      <c r="E62" s="64"/>
      <c r="F62" s="64" t="s">
        <v>96</v>
      </c>
      <c r="G62" s="1" t="s">
        <v>149</v>
      </c>
      <c r="H62" s="3"/>
      <c r="I62"/>
      <c r="J62" s="3"/>
      <c r="K62"/>
      <c r="L62" s="3"/>
      <c r="M62" s="3">
        <v>1</v>
      </c>
      <c r="N62" s="3"/>
      <c r="O62" s="41"/>
      <c r="P62" s="10"/>
    </row>
    <row r="63" spans="1:16" ht="16" x14ac:dyDescent="0.4">
      <c r="A63" s="3">
        <v>61</v>
      </c>
      <c r="B63" s="128" t="s">
        <v>190</v>
      </c>
      <c r="C63" t="s">
        <v>191</v>
      </c>
      <c r="D63">
        <v>1</v>
      </c>
      <c r="E63" s="64"/>
      <c r="F63" s="64" t="s">
        <v>97</v>
      </c>
      <c r="G63" s="1" t="s">
        <v>149</v>
      </c>
      <c r="H63" s="3"/>
      <c r="I63"/>
      <c r="J63" s="3"/>
      <c r="K63"/>
      <c r="L63" s="3"/>
      <c r="M63" s="3">
        <v>1</v>
      </c>
      <c r="N63" s="3"/>
      <c r="O63" s="41"/>
      <c r="P63" s="10"/>
    </row>
    <row r="64" spans="1:16" ht="16" x14ac:dyDescent="0.4">
      <c r="A64" s="3">
        <v>62</v>
      </c>
      <c r="B64" s="128" t="s">
        <v>1113</v>
      </c>
      <c r="C64" t="s">
        <v>1117</v>
      </c>
      <c r="E64" s="64"/>
      <c r="F64" s="64" t="s">
        <v>97</v>
      </c>
      <c r="G64" s="1" t="s">
        <v>149</v>
      </c>
      <c r="H64" s="3"/>
      <c r="I64"/>
      <c r="J64" s="3"/>
      <c r="K64"/>
      <c r="L64" s="3"/>
      <c r="M64" s="3">
        <v>1</v>
      </c>
      <c r="N64" s="3"/>
      <c r="O64" s="41"/>
      <c r="P64" s="10"/>
    </row>
    <row r="65" spans="1:17" ht="16" x14ac:dyDescent="0.4">
      <c r="A65" s="3">
        <v>63</v>
      </c>
      <c r="B65" s="128" t="s">
        <v>1114</v>
      </c>
      <c r="C65" t="s">
        <v>1118</v>
      </c>
      <c r="E65" s="64"/>
      <c r="F65" s="64" t="s">
        <v>96</v>
      </c>
      <c r="G65" s="1" t="s">
        <v>149</v>
      </c>
      <c r="H65" s="3"/>
      <c r="I65"/>
      <c r="J65" s="3"/>
      <c r="K65"/>
      <c r="L65" s="3"/>
      <c r="M65" s="3">
        <v>1</v>
      </c>
      <c r="N65" s="3"/>
      <c r="O65" s="41"/>
      <c r="P65" s="10"/>
    </row>
    <row r="66" spans="1:17" ht="16" x14ac:dyDescent="0.4">
      <c r="A66" s="3">
        <v>64</v>
      </c>
      <c r="B66" s="128" t="s">
        <v>1115</v>
      </c>
      <c r="C66" t="s">
        <v>443</v>
      </c>
      <c r="E66" s="64"/>
      <c r="F66" s="64" t="s">
        <v>96</v>
      </c>
      <c r="G66" s="1" t="s">
        <v>149</v>
      </c>
      <c r="H66" s="3"/>
      <c r="I66"/>
      <c r="J66" s="3"/>
      <c r="K66"/>
      <c r="L66" s="3"/>
      <c r="M66" s="3">
        <v>1</v>
      </c>
      <c r="N66" s="3"/>
      <c r="O66" s="41"/>
      <c r="P66" s="10"/>
    </row>
    <row r="67" spans="1:17" ht="16" x14ac:dyDescent="0.4">
      <c r="A67" s="3">
        <v>65</v>
      </c>
      <c r="B67" s="128" t="s">
        <v>459</v>
      </c>
      <c r="C67" t="s">
        <v>91</v>
      </c>
      <c r="E67" s="64"/>
      <c r="F67" s="64" t="s">
        <v>96</v>
      </c>
      <c r="G67" s="1" t="s">
        <v>149</v>
      </c>
      <c r="H67" s="3"/>
      <c r="I67"/>
      <c r="J67" s="3"/>
      <c r="K67"/>
      <c r="L67" s="3"/>
      <c r="M67" s="3">
        <v>1</v>
      </c>
      <c r="N67" s="3"/>
      <c r="O67" s="41"/>
      <c r="P67" s="10"/>
    </row>
    <row r="68" spans="1:17" ht="16" x14ac:dyDescent="0.4">
      <c r="A68" s="3">
        <v>66</v>
      </c>
      <c r="B68" s="128" t="s">
        <v>1116</v>
      </c>
      <c r="C68" t="s">
        <v>91</v>
      </c>
      <c r="E68" s="64"/>
      <c r="F68" s="64" t="s">
        <v>96</v>
      </c>
      <c r="G68" s="1" t="s">
        <v>149</v>
      </c>
      <c r="H68" s="3"/>
      <c r="I68"/>
      <c r="J68" s="3"/>
      <c r="K68"/>
      <c r="L68" s="3"/>
      <c r="M68" s="3">
        <v>1</v>
      </c>
      <c r="N68" s="3"/>
      <c r="O68" s="41"/>
      <c r="P68" s="10"/>
    </row>
    <row r="69" spans="1:17" ht="16" x14ac:dyDescent="0.4">
      <c r="A69" s="3">
        <v>67</v>
      </c>
      <c r="B69" s="113"/>
      <c r="E69" s="64"/>
      <c r="F69" s="64"/>
      <c r="G69" s="1"/>
      <c r="H69" s="3"/>
      <c r="I69"/>
      <c r="J69" s="3"/>
      <c r="K69"/>
      <c r="L69" s="3"/>
      <c r="M69" s="3"/>
      <c r="N69" s="3"/>
      <c r="O69" s="41"/>
      <c r="P69" s="10"/>
    </row>
    <row r="70" spans="1:17" ht="16" x14ac:dyDescent="0.4">
      <c r="A70" s="3">
        <v>68</v>
      </c>
      <c r="B70" s="113"/>
      <c r="E70" s="64"/>
      <c r="F70" s="64"/>
      <c r="G70" s="1"/>
      <c r="H70" s="3"/>
      <c r="I70"/>
      <c r="J70" s="3"/>
      <c r="K70" s="3"/>
      <c r="L70" s="3"/>
      <c r="M70" s="3"/>
      <c r="N70" s="3"/>
      <c r="O70" s="41"/>
      <c r="P70" s="10"/>
    </row>
    <row r="71" spans="1:17" ht="16" x14ac:dyDescent="0.4">
      <c r="A71" s="3">
        <v>69</v>
      </c>
      <c r="B71" s="64"/>
      <c r="C71" s="64"/>
      <c r="D71" s="64"/>
      <c r="E71" s="64"/>
      <c r="F71" s="64"/>
      <c r="G71" s="1"/>
      <c r="H71" s="3"/>
      <c r="I71"/>
      <c r="J71" s="3"/>
      <c r="K71" s="3"/>
      <c r="L71" s="3"/>
      <c r="M71" s="3"/>
      <c r="N71" s="3"/>
      <c r="O71" s="41"/>
      <c r="P71" s="10"/>
    </row>
    <row r="72" spans="1:17" x14ac:dyDescent="0.35">
      <c r="A72" s="3">
        <v>70</v>
      </c>
      <c r="B72" s="64"/>
      <c r="C72" s="64"/>
      <c r="D72" s="64"/>
      <c r="E72" s="64"/>
      <c r="F72" s="64"/>
      <c r="G72" s="1"/>
      <c r="H72" s="3"/>
      <c r="I72"/>
      <c r="J72" s="3"/>
      <c r="K72" s="3"/>
      <c r="L72" s="3"/>
      <c r="M72" s="3"/>
      <c r="N72" s="3"/>
      <c r="O72" s="41"/>
    </row>
    <row r="73" spans="1:17" x14ac:dyDescent="0.35">
      <c r="B73" s="107"/>
      <c r="C73" s="107"/>
      <c r="D73" s="107"/>
      <c r="E73" s="107"/>
      <c r="G73" s="107"/>
      <c r="H73" s="4">
        <f>SUM(H3:H72)</f>
        <v>29</v>
      </c>
      <c r="I73" s="4">
        <f t="shared" ref="I73:M73" si="6">SUM(I3:I72)</f>
        <v>28</v>
      </c>
      <c r="J73" s="4">
        <f t="shared" si="6"/>
        <v>30</v>
      </c>
      <c r="K73" s="4">
        <f t="shared" si="6"/>
        <v>22</v>
      </c>
      <c r="L73" s="4">
        <f t="shared" si="6"/>
        <v>19</v>
      </c>
      <c r="M73" s="4">
        <f t="shared" si="6"/>
        <v>40</v>
      </c>
      <c r="Q73" s="4">
        <f>SUM(Q3:Q72)</f>
        <v>12</v>
      </c>
    </row>
    <row r="74" spans="1:17" x14ac:dyDescent="0.35">
      <c r="B74" s="107"/>
      <c r="C74" s="107"/>
      <c r="D74" s="107"/>
      <c r="E74" s="107"/>
      <c r="G74" s="107"/>
      <c r="H74" s="4">
        <v>7</v>
      </c>
      <c r="I74" s="4">
        <v>3</v>
      </c>
      <c r="J74" s="4">
        <v>5</v>
      </c>
      <c r="K74" s="4">
        <v>0</v>
      </c>
      <c r="L74" s="4">
        <v>1</v>
      </c>
      <c r="M74" s="4">
        <v>3</v>
      </c>
    </row>
    <row r="75" spans="1:17" x14ac:dyDescent="0.35">
      <c r="B75" s="107"/>
      <c r="C75" s="107"/>
      <c r="D75" s="107"/>
      <c r="E75" s="107"/>
      <c r="G75" s="107"/>
    </row>
    <row r="76" spans="1:17" x14ac:dyDescent="0.35">
      <c r="B76" s="1" t="s">
        <v>595</v>
      </c>
      <c r="C76" s="58" t="s">
        <v>181</v>
      </c>
      <c r="D76" s="50"/>
      <c r="E76" s="107">
        <f>COUNTIFS($G$3:$G$68,B76,$F$3:$F$68,C76)</f>
        <v>3</v>
      </c>
      <c r="G76" s="107"/>
    </row>
    <row r="77" spans="1:17" ht="43.5" x14ac:dyDescent="0.35">
      <c r="B77" s="58"/>
      <c r="C77" s="58" t="s">
        <v>182</v>
      </c>
      <c r="D77" s="50"/>
      <c r="E77" s="107">
        <f>COUNTIFS($G$3:$G$68,B76,$F$3:$F$68,C77)-1</f>
        <v>4</v>
      </c>
      <c r="G77" s="28"/>
      <c r="J77" s="4" t="s">
        <v>42</v>
      </c>
      <c r="N77" s="42" t="s">
        <v>31</v>
      </c>
      <c r="O77" s="19">
        <f>COUNTIF(O3:O28,"&gt;=80%")</f>
        <v>11</v>
      </c>
    </row>
    <row r="78" spans="1:17" ht="43.5" x14ac:dyDescent="0.35">
      <c r="B78" s="1" t="s">
        <v>149</v>
      </c>
      <c r="C78" s="58" t="s">
        <v>181</v>
      </c>
      <c r="D78" s="50"/>
      <c r="E78" s="107">
        <f>COUNTIFS($G$3:$G$68,B78,$F$3:$F$68,C78)-2</f>
        <v>48</v>
      </c>
      <c r="G78" s="28"/>
      <c r="N78" s="42" t="s">
        <v>51</v>
      </c>
      <c r="O78" s="19">
        <f>COUNTIF(O3:O29,"&gt;=50%")</f>
        <v>19</v>
      </c>
    </row>
    <row r="79" spans="1:17" ht="58" x14ac:dyDescent="0.35">
      <c r="C79" s="58" t="s">
        <v>182</v>
      </c>
      <c r="D79" s="50"/>
      <c r="E79" s="107">
        <f>COUNTIFS($G$3:$G$68,B78,$F$3:$F$68,C79)</f>
        <v>8</v>
      </c>
      <c r="N79" s="42" t="s">
        <v>52</v>
      </c>
      <c r="O79" s="19">
        <f>COUNTIF(N3:N28,"&gt;=4")</f>
        <v>15</v>
      </c>
    </row>
    <row r="80" spans="1:17" ht="60" x14ac:dyDescent="0.55000000000000004">
      <c r="C80" s="106" t="s">
        <v>184</v>
      </c>
      <c r="D80" s="130"/>
      <c r="E80">
        <f>SUM(E76:E79)</f>
        <v>63</v>
      </c>
      <c r="N80" s="42" t="s">
        <v>53</v>
      </c>
      <c r="O80" s="19">
        <f>COUNTIF(N3:N28,"&gt;=3")</f>
        <v>18</v>
      </c>
    </row>
  </sheetData>
  <autoFilter ref="A2:T74" xr:uid="{BA9D1657-BA3B-4788-802B-65876F1E6C27}">
    <sortState xmlns:xlrd2="http://schemas.microsoft.com/office/spreadsheetml/2017/richdata2" ref="A4:T28">
      <sortCondition ref="B2:B28"/>
    </sortState>
  </autoFilter>
  <mergeCells count="7">
    <mergeCell ref="P1:P2"/>
    <mergeCell ref="A1:A2"/>
    <mergeCell ref="B1:B2"/>
    <mergeCell ref="G1:G2"/>
    <mergeCell ref="H1:N1"/>
    <mergeCell ref="F1:F2"/>
    <mergeCell ref="E1:E2"/>
  </mergeCells>
  <conditionalFormatting sqref="A3:O72">
    <cfRule type="expression" dxfId="13" priority="17">
      <formula>MOD(ROW(),2)=0</formula>
    </cfRule>
  </conditionalFormatting>
  <conditionalFormatting sqref="B76">
    <cfRule type="expression" dxfId="12" priority="6">
      <formula>MOD(ROW(),2)=0</formula>
    </cfRule>
    <cfRule type="expression" dxfId="11" priority="7">
      <formula>MOD(ROW(),2)=0</formula>
    </cfRule>
    <cfRule type="expression" dxfId="10" priority="8">
      <formula>MOD(ROW(),2)=0</formula>
    </cfRule>
    <cfRule type="expression" dxfId="9" priority="9">
      <formula>MOD(ROW(),2)=0</formula>
    </cfRule>
    <cfRule type="expression" priority="11">
      <formula>MOD(ROW(),2)=0</formula>
    </cfRule>
  </conditionalFormatting>
  <conditionalFormatting sqref="B76:B77 O4:O72 A8:A72 N16:N76 H26:H72 G29:G72 F31:G71">
    <cfRule type="expression" dxfId="8" priority="10">
      <formula>MOD(ROW(),2)=0</formula>
    </cfRule>
  </conditionalFormatting>
  <conditionalFormatting sqref="B78">
    <cfRule type="expression" dxfId="7" priority="1">
      <formula>MOD(ROW(),2)=0</formula>
    </cfRule>
    <cfRule type="expression" dxfId="6" priority="2">
      <formula>MOD(ROW(),2)=0</formula>
    </cfRule>
    <cfRule type="expression" dxfId="5" priority="3">
      <formula>MOD(ROW(),2)=0</formula>
    </cfRule>
    <cfRule type="expression" dxfId="4" priority="4">
      <formula>MOD(ROW(),2)=0</formula>
    </cfRule>
    <cfRule type="expression" priority="5">
      <formula>MOD(ROW(),2)=0</formula>
    </cfRule>
  </conditionalFormatting>
  <conditionalFormatting sqref="C76:D80">
    <cfRule type="expression" dxfId="3" priority="12">
      <formula>MOD(ROW(),2)=0</formula>
    </cfRule>
  </conditionalFormatting>
  <conditionalFormatting sqref="F1:G1 B1:B2 H2:M29 A3:E28 F3:G29 A7:A72 H26:H72 B29:E29 F31:G71">
    <cfRule type="expression" priority="35">
      <formula>MOD(ROW(),2)=0</formula>
    </cfRule>
  </conditionalFormatting>
  <conditionalFormatting sqref="G3:G5 G9 G11:G14 G16:G22 G24:G27">
    <cfRule type="expression" dxfId="2" priority="15">
      <formula>MOD(ROW(),2)=0</formula>
    </cfRule>
    <cfRule type="expression" dxfId="1" priority="16">
      <formula>MOD(ROW(),2)=0</formula>
    </cfRule>
  </conditionalFormatting>
  <conditionalFormatting sqref="H2:O15 A3:E28 F3:G29 A7:A72 H16:M29 B29:E29 N31:O34 A1:O2">
    <cfRule type="expression" dxfId="0" priority="22">
      <formula>MOD(ROW(),2)=0</formula>
    </cfRule>
  </conditionalFormatting>
  <pageMargins left="0.7" right="0.7" top="0.75" bottom="0.75" header="0.3" footer="0.3"/>
  <pageSetup paperSize="9" scale="85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BEC24EE07AAD45BD0F3E145ED5577B" ma:contentTypeVersion="15" ma:contentTypeDescription="Create a new document." ma:contentTypeScope="" ma:versionID="0c47bdca9b981670f68c60d60e124164">
  <xsd:schema xmlns:xsd="http://www.w3.org/2001/XMLSchema" xmlns:xs="http://www.w3.org/2001/XMLSchema" xmlns:p="http://schemas.microsoft.com/office/2006/metadata/properties" xmlns:ns2="b376ef5a-8dea-459b-b67b-70c64740447b" xmlns:ns3="bf1928af-ab5d-4a6b-85ee-f081d5d14fae" targetNamespace="http://schemas.microsoft.com/office/2006/metadata/properties" ma:root="true" ma:fieldsID="79355b250b92ef5a69b8ac96de64aa35" ns2:_="" ns3:_="">
    <xsd:import namespace="b376ef5a-8dea-459b-b67b-70c64740447b"/>
    <xsd:import namespace="bf1928af-ab5d-4a6b-85ee-f081d5d14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6ef5a-8dea-459b-b67b-70c64740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4b08990-66f7-4168-8a6c-818de277a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928af-ab5d-4a6b-85ee-f081d5d14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dfc0a33-7d6c-4233-b494-7568feaf2d6b}" ma:internalName="TaxCatchAll" ma:showField="CatchAllData" ma:web="bf1928af-ab5d-4a6b-85ee-f081d5d14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1928af-ab5d-4a6b-85ee-f081d5d14fae" xsi:nil="true"/>
    <lcf76f155ced4ddcb4097134ff3c332f xmlns="b376ef5a-8dea-459b-b67b-70c6474044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6AE0A5-691C-4727-B505-ED2A517138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1D67F5-EF72-4143-A6ED-16FE06F27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6ef5a-8dea-459b-b67b-70c64740447b"/>
    <ds:schemaRef ds:uri="bf1928af-ab5d-4a6b-85ee-f081d5d14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25374F-F46D-4D6F-80C7-D1F8817BAD32}">
  <ds:schemaRefs>
    <ds:schemaRef ds:uri="http://schemas.microsoft.com/office/2006/metadata/properties"/>
    <ds:schemaRef ds:uri="http://schemas.microsoft.com/office/infopath/2007/PartnerControls"/>
    <ds:schemaRef ds:uri="bf1928af-ab5d-4a6b-85ee-f081d5d14fae"/>
    <ds:schemaRef ds:uri="b376ef5a-8dea-459b-b67b-70c6474044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5</vt:i4>
      </vt:variant>
    </vt:vector>
  </HeadingPairs>
  <TitlesOfParts>
    <vt:vector size="30" baseType="lpstr">
      <vt:lpstr>geo tag SL</vt:lpstr>
      <vt:lpstr>Jumlah SL</vt:lpstr>
      <vt:lpstr>SRP Geneng Ngawi</vt:lpstr>
      <vt:lpstr>SRP Karangmalang Sragen</vt:lpstr>
      <vt:lpstr>SRP Manggis Boyolali</vt:lpstr>
      <vt:lpstr>SRP Bangak Boyolali </vt:lpstr>
      <vt:lpstr>SRP Sumber Boyolali</vt:lpstr>
      <vt:lpstr>SRP Sukorejo Sragen</vt:lpstr>
      <vt:lpstr>SRP Kliwonan Sragen</vt:lpstr>
      <vt:lpstr>SRP Jotangan Boyolali</vt:lpstr>
      <vt:lpstr>SRP Klumutan Madiun</vt:lpstr>
      <vt:lpstr>SRP Pogung Klaten</vt:lpstr>
      <vt:lpstr>SRP Mojo Boyolali</vt:lpstr>
      <vt:lpstr>SRP Bahat Klaten</vt:lpstr>
      <vt:lpstr>SRP Tawangrejo</vt:lpstr>
      <vt:lpstr>SRP Sugihwaras</vt:lpstr>
      <vt:lpstr>indirect 2026</vt:lpstr>
      <vt:lpstr>Tab all</vt:lpstr>
      <vt:lpstr>Manggis</vt:lpstr>
      <vt:lpstr>Sukorejo</vt:lpstr>
      <vt:lpstr>Kliwonan</vt:lpstr>
      <vt:lpstr>Jotangan</vt:lpstr>
      <vt:lpstr>Tawangrejo</vt:lpstr>
      <vt:lpstr>Geneng</vt:lpstr>
      <vt:lpstr>Klumutan</vt:lpstr>
      <vt:lpstr>Geneng!Print_Area</vt:lpstr>
      <vt:lpstr>Kliwonan!Print_Area</vt:lpstr>
      <vt:lpstr>Klumutan!Print_Area</vt:lpstr>
      <vt:lpstr>Manggis!Print_Area</vt:lpstr>
      <vt:lpstr>Sukorejo!Print_Area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Septy Azizah Puspitasari</dc:creator>
  <cp:keywords/>
  <dc:description/>
  <cp:lastModifiedBy>Okto Reno</cp:lastModifiedBy>
  <cp:revision/>
  <cp:lastPrinted>2025-02-06T10:53:19Z</cp:lastPrinted>
  <dcterms:created xsi:type="dcterms:W3CDTF">2024-07-23T02:09:19Z</dcterms:created>
  <dcterms:modified xsi:type="dcterms:W3CDTF">2026-10-09T06:26:48Z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0x010100FBBEC24EE07AAD45BD0F3E145ED5577B</vt:lpwstr>
  </property>
</Properties>
</file>