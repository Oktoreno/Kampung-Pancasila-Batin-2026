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taa\Desktop\Kampung Pancasila Batin 2026\"/>
    </mc:Choice>
  </mc:AlternateContent>
  <xr:revisionPtr revIDLastSave="0" documentId="13_ncr:1_{A4471A73-E956-4837-8CDE-35C5FDA9F82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ftar Sarpras" sheetId="1" r:id="rId1"/>
    <sheet name="Rekap" sheetId="2" r:id="rId2"/>
  </sheets>
  <definedNames>
    <definedName name="_xlnm._FilterDatabase" localSheetId="0" hidden="1">'Daftar Sarpras'!$A$1:$G$37</definedName>
    <definedName name="_xlnm.Print_Area" localSheetId="0">'Daftar Sarpras'!$B$1:$G$37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2" l="1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C14" i="2" s="1"/>
  <c r="B2" i="2"/>
  <c r="B14" i="2" s="1"/>
</calcChain>
</file>

<file path=xl/sharedStrings.xml><?xml version="1.0" encoding="utf-8"?>
<sst xmlns="http://schemas.openxmlformats.org/spreadsheetml/2006/main" count="177" uniqueCount="68">
  <si>
    <t>No</t>
  </si>
  <si>
    <t>Dawis / Wilayah</t>
  </si>
  <si>
    <t>Nama / Lokasi</t>
  </si>
  <si>
    <t>Sarpras</t>
  </si>
  <si>
    <t>Jumlah</t>
  </si>
  <si>
    <t>Alamat</t>
  </si>
  <si>
    <t>Keterangan</t>
  </si>
  <si>
    <t>Dawis 1</t>
  </si>
  <si>
    <t>Syafaat</t>
  </si>
  <si>
    <t>Bank Samor</t>
  </si>
  <si>
    <t>Djulaikah</t>
  </si>
  <si>
    <t>Muntama</t>
  </si>
  <si>
    <t>Tong Komposter</t>
  </si>
  <si>
    <t>Edy Turyono</t>
  </si>
  <si>
    <t>Compos Bag</t>
  </si>
  <si>
    <t>Pedagang Sosis</t>
  </si>
  <si>
    <t>Rahmat</t>
  </si>
  <si>
    <t>Ndang Kuswanda</t>
  </si>
  <si>
    <t>Hindarto</t>
  </si>
  <si>
    <t>Fasum - Lapangan depan</t>
  </si>
  <si>
    <t>Tong Komposter Lindi Jumbo</t>
  </si>
  <si>
    <t>Lapangan depan</t>
  </si>
  <si>
    <t>Fasum</t>
  </si>
  <si>
    <t>Fasum - Pinggir got besar</t>
  </si>
  <si>
    <t>Pinggir got besar</t>
  </si>
  <si>
    <t>Fasum; pembagian 2 dan 4 dari catatan asli perlu dikonfirmasi</t>
  </si>
  <si>
    <t>Dawis 5 RT 1</t>
  </si>
  <si>
    <t>Jojo N</t>
  </si>
  <si>
    <t>A7/4</t>
  </si>
  <si>
    <t>Astrid</t>
  </si>
  <si>
    <t>A7/6</t>
  </si>
  <si>
    <t>Eco Enzym</t>
  </si>
  <si>
    <t>3 galon</t>
  </si>
  <si>
    <t>Biopori</t>
  </si>
  <si>
    <t>Agus Purwanto</t>
  </si>
  <si>
    <t>Gallon Kura</t>
  </si>
  <si>
    <t>A7/7</t>
  </si>
  <si>
    <t>Pelapor data Dawis 5</t>
  </si>
  <si>
    <t>Tong Kura</t>
  </si>
  <si>
    <t>Hendro</t>
  </si>
  <si>
    <t>Compos Bag Jumbo</t>
  </si>
  <si>
    <t>A7/8</t>
  </si>
  <si>
    <t>Di catatan lain tertulis "Hendrix"</t>
  </si>
  <si>
    <t>Indarto</t>
  </si>
  <si>
    <t>A7/15</t>
  </si>
  <si>
    <t>Karung Kura</t>
  </si>
  <si>
    <t>Jumlah belum tercatat</t>
  </si>
  <si>
    <t>Akiat</t>
  </si>
  <si>
    <t>A7/17</t>
  </si>
  <si>
    <t>Fasum - pintu gerbang s/d batas fasum RT 02</t>
  </si>
  <si>
    <t>Juglangan</t>
  </si>
  <si>
    <t>Depan toko Bu Wiwik</t>
  </si>
  <si>
    <t>Urban Farming / Toga</t>
  </si>
  <si>
    <t>A1/5</t>
  </si>
  <si>
    <t>A1/7</t>
  </si>
  <si>
    <t>A1/18</t>
  </si>
  <si>
    <t>A1/24</t>
  </si>
  <si>
    <t>Dawis tidak tertulis jelas di catatan asli</t>
  </si>
  <si>
    <t>A3/5</t>
  </si>
  <si>
    <t>Urban farming</t>
  </si>
  <si>
    <t>A3/13</t>
  </si>
  <si>
    <t>A1/1</t>
  </si>
  <si>
    <t>A1/27</t>
  </si>
  <si>
    <t>A1/33</t>
  </si>
  <si>
    <t>Baris hijau = fasum. Jumlah kosong = belum tercatat di data asli. Istilah "Kura" dan "Juglangan" ditulis sesuai catatan asli.</t>
  </si>
  <si>
    <t>Jumlah titik</t>
  </si>
  <si>
    <t>Total unit tercatat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</si>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</sst>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3E3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3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B1" zoomScaleNormal="100" workbookViewId="0">
      <pane ySplit="1" topLeftCell="A26" activePane="bottomLeft" state="frozen"/>
      <selection activeCell="B1" sqref="B1"/>
      <selection pane="bottomLeft" activeCell="B1" sqref="B1:G37"/>
    </sheetView>
  </sheetViews>
  <sheetFormatPr defaultColWidth="8.6328125" defaultRowHeight="14.5" x14ac:dyDescent="0.35"/>
  <cols>
    <col min="1" max="1" width="5" customWidth="1"/>
    <col min="2" max="2" width="16" customWidth="1"/>
    <col min="3" max="3" width="36" customWidth="1"/>
    <col min="4" max="4" width="28" customWidth="1"/>
    <col min="5" max="5" width="9" customWidth="1"/>
    <col min="6" max="6" width="22" customWidth="1"/>
    <col min="7" max="7" width="4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3" t="s">
        <v>7</v>
      </c>
      <c r="C2" s="4" t="s">
        <v>8</v>
      </c>
      <c r="D2" s="3" t="s">
        <v>9</v>
      </c>
      <c r="E2" s="2">
        <v>1</v>
      </c>
      <c r="F2" s="3"/>
      <c r="G2" s="4"/>
    </row>
    <row r="3" spans="1:7" x14ac:dyDescent="0.35">
      <c r="A3" s="2">
        <v>2</v>
      </c>
      <c r="B3" s="3" t="s">
        <v>7</v>
      </c>
      <c r="C3" s="4" t="s">
        <v>10</v>
      </c>
      <c r="D3" s="3" t="s">
        <v>9</v>
      </c>
      <c r="E3" s="2">
        <v>1</v>
      </c>
      <c r="F3" s="3"/>
      <c r="G3" s="4"/>
    </row>
    <row r="4" spans="1:7" x14ac:dyDescent="0.35">
      <c r="A4" s="2">
        <v>3</v>
      </c>
      <c r="B4" s="3" t="s">
        <v>7</v>
      </c>
      <c r="C4" s="4" t="s">
        <v>11</v>
      </c>
      <c r="D4" s="3" t="s">
        <v>12</v>
      </c>
      <c r="E4" s="2">
        <v>1</v>
      </c>
      <c r="F4" s="3"/>
      <c r="G4" s="4"/>
    </row>
    <row r="5" spans="1:7" x14ac:dyDescent="0.35">
      <c r="A5" s="2">
        <v>4</v>
      </c>
      <c r="B5" s="3" t="s">
        <v>7</v>
      </c>
      <c r="C5" s="4" t="s">
        <v>13</v>
      </c>
      <c r="D5" s="3" t="s">
        <v>14</v>
      </c>
      <c r="E5" s="2">
        <v>1</v>
      </c>
      <c r="F5" s="3"/>
      <c r="G5" s="4"/>
    </row>
    <row r="6" spans="1:7" x14ac:dyDescent="0.35">
      <c r="A6" s="2">
        <v>5</v>
      </c>
      <c r="B6" s="3" t="s">
        <v>7</v>
      </c>
      <c r="C6" s="4" t="s">
        <v>15</v>
      </c>
      <c r="D6" s="3" t="s">
        <v>9</v>
      </c>
      <c r="E6" s="2">
        <v>1</v>
      </c>
      <c r="F6" s="3"/>
      <c r="G6" s="4"/>
    </row>
    <row r="7" spans="1:7" x14ac:dyDescent="0.35">
      <c r="A7" s="2">
        <v>6</v>
      </c>
      <c r="B7" s="3" t="s">
        <v>7</v>
      </c>
      <c r="C7" s="4" t="s">
        <v>16</v>
      </c>
      <c r="D7" s="3" t="s">
        <v>14</v>
      </c>
      <c r="E7" s="2">
        <v>1</v>
      </c>
      <c r="F7" s="3"/>
      <c r="G7" s="4"/>
    </row>
    <row r="8" spans="1:7" x14ac:dyDescent="0.35">
      <c r="A8" s="2">
        <v>7</v>
      </c>
      <c r="B8" s="3" t="s">
        <v>7</v>
      </c>
      <c r="C8" s="4" t="s">
        <v>17</v>
      </c>
      <c r="D8" s="3" t="s">
        <v>14</v>
      </c>
      <c r="E8" s="2">
        <v>1</v>
      </c>
      <c r="F8" s="3"/>
      <c r="G8" s="4"/>
    </row>
    <row r="9" spans="1:7" x14ac:dyDescent="0.35">
      <c r="A9" s="2">
        <v>8</v>
      </c>
      <c r="B9" s="3" t="s">
        <v>7</v>
      </c>
      <c r="C9" s="4" t="s">
        <v>18</v>
      </c>
      <c r="D9" s="3" t="s">
        <v>14</v>
      </c>
      <c r="E9" s="2">
        <v>1</v>
      </c>
      <c r="F9" s="3"/>
      <c r="G9" s="4"/>
    </row>
    <row r="10" spans="1:7" x14ac:dyDescent="0.35">
      <c r="A10" s="5">
        <v>9</v>
      </c>
      <c r="B10" s="6" t="s">
        <v>7</v>
      </c>
      <c r="C10" s="7" t="s">
        <v>19</v>
      </c>
      <c r="D10" s="6" t="s">
        <v>20</v>
      </c>
      <c r="E10" s="5">
        <v>1</v>
      </c>
      <c r="F10" s="6" t="s">
        <v>21</v>
      </c>
      <c r="G10" s="7" t="s">
        <v>22</v>
      </c>
    </row>
    <row r="11" spans="1:7" x14ac:dyDescent="0.35">
      <c r="A11" s="5">
        <v>10</v>
      </c>
      <c r="B11" s="6" t="s">
        <v>7</v>
      </c>
      <c r="C11" s="7" t="s">
        <v>19</v>
      </c>
      <c r="D11" s="6" t="s">
        <v>9</v>
      </c>
      <c r="E11" s="5">
        <v>2</v>
      </c>
      <c r="F11" s="6" t="s">
        <v>21</v>
      </c>
      <c r="G11" s="7" t="s">
        <v>22</v>
      </c>
    </row>
    <row r="12" spans="1:7" ht="27.75" customHeight="1" x14ac:dyDescent="0.35">
      <c r="A12" s="5">
        <v>11</v>
      </c>
      <c r="B12" s="6" t="s">
        <v>7</v>
      </c>
      <c r="C12" s="7" t="s">
        <v>23</v>
      </c>
      <c r="D12" s="6" t="s">
        <v>9</v>
      </c>
      <c r="E12" s="5">
        <v>4</v>
      </c>
      <c r="F12" s="6" t="s">
        <v>24</v>
      </c>
      <c r="G12" s="7" t="s">
        <v>25</v>
      </c>
    </row>
    <row r="13" spans="1:7" x14ac:dyDescent="0.35">
      <c r="A13" s="2">
        <v>12</v>
      </c>
      <c r="B13" s="3" t="s">
        <v>26</v>
      </c>
      <c r="C13" s="4" t="s">
        <v>27</v>
      </c>
      <c r="D13" s="3" t="s">
        <v>14</v>
      </c>
      <c r="E13" s="2">
        <v>1</v>
      </c>
      <c r="F13" s="3" t="s">
        <v>28</v>
      </c>
      <c r="G13" s="4"/>
    </row>
    <row r="14" spans="1:7" x14ac:dyDescent="0.35">
      <c r="A14" s="2">
        <v>13</v>
      </c>
      <c r="B14" s="3" t="s">
        <v>26</v>
      </c>
      <c r="C14" s="4" t="s">
        <v>29</v>
      </c>
      <c r="D14" s="3" t="s">
        <v>14</v>
      </c>
      <c r="E14" s="2">
        <v>2</v>
      </c>
      <c r="F14" s="3" t="s">
        <v>30</v>
      </c>
      <c r="G14" s="4"/>
    </row>
    <row r="15" spans="1:7" x14ac:dyDescent="0.35">
      <c r="A15" s="2">
        <v>14</v>
      </c>
      <c r="B15" s="3" t="s">
        <v>26</v>
      </c>
      <c r="C15" s="4" t="s">
        <v>29</v>
      </c>
      <c r="D15" s="3" t="s">
        <v>31</v>
      </c>
      <c r="E15" s="2">
        <v>3</v>
      </c>
      <c r="F15" s="3" t="s">
        <v>30</v>
      </c>
      <c r="G15" s="4" t="s">
        <v>32</v>
      </c>
    </row>
    <row r="16" spans="1:7" x14ac:dyDescent="0.35">
      <c r="A16" s="2">
        <v>15</v>
      </c>
      <c r="B16" s="3" t="s">
        <v>26</v>
      </c>
      <c r="C16" s="4" t="s">
        <v>29</v>
      </c>
      <c r="D16" s="3" t="s">
        <v>33</v>
      </c>
      <c r="E16" s="2">
        <v>4</v>
      </c>
      <c r="F16" s="3" t="s">
        <v>30</v>
      </c>
      <c r="G16" s="4"/>
    </row>
    <row r="17" spans="1:7" x14ac:dyDescent="0.35">
      <c r="A17" s="2">
        <v>16</v>
      </c>
      <c r="B17" s="3" t="s">
        <v>26</v>
      </c>
      <c r="C17" s="4" t="s">
        <v>34</v>
      </c>
      <c r="D17" s="3" t="s">
        <v>35</v>
      </c>
      <c r="E17" s="2">
        <v>2</v>
      </c>
      <c r="F17" s="3" t="s">
        <v>36</v>
      </c>
      <c r="G17" s="4" t="s">
        <v>37</v>
      </c>
    </row>
    <row r="18" spans="1:7" x14ac:dyDescent="0.35">
      <c r="A18" s="2">
        <v>17</v>
      </c>
      <c r="B18" s="3" t="s">
        <v>26</v>
      </c>
      <c r="C18" s="4" t="s">
        <v>34</v>
      </c>
      <c r="D18" s="3" t="s">
        <v>31</v>
      </c>
      <c r="E18" s="2">
        <v>3</v>
      </c>
      <c r="F18" s="3" t="s">
        <v>36</v>
      </c>
      <c r="G18" s="4"/>
    </row>
    <row r="19" spans="1:7" x14ac:dyDescent="0.35">
      <c r="A19" s="2">
        <v>18</v>
      </c>
      <c r="B19" s="3" t="s">
        <v>26</v>
      </c>
      <c r="C19" s="4" t="s">
        <v>34</v>
      </c>
      <c r="D19" s="3" t="s">
        <v>38</v>
      </c>
      <c r="E19" s="2">
        <v>1</v>
      </c>
      <c r="F19" s="3" t="s">
        <v>36</v>
      </c>
      <c r="G19" s="4"/>
    </row>
    <row r="20" spans="1:7" x14ac:dyDescent="0.35">
      <c r="A20" s="2">
        <v>19</v>
      </c>
      <c r="B20" s="3" t="s">
        <v>26</v>
      </c>
      <c r="C20" s="4" t="s">
        <v>39</v>
      </c>
      <c r="D20" s="3" t="s">
        <v>40</v>
      </c>
      <c r="E20" s="2">
        <v>1</v>
      </c>
      <c r="F20" s="3" t="s">
        <v>41</v>
      </c>
      <c r="G20" s="4" t="s">
        <v>42</v>
      </c>
    </row>
    <row r="21" spans="1:7" x14ac:dyDescent="0.35">
      <c r="A21" s="2">
        <v>20</v>
      </c>
      <c r="B21" s="3" t="s">
        <v>26</v>
      </c>
      <c r="C21" s="4" t="s">
        <v>43</v>
      </c>
      <c r="D21" s="3" t="s">
        <v>14</v>
      </c>
      <c r="E21" s="2">
        <v>2</v>
      </c>
      <c r="F21" s="3" t="s">
        <v>44</v>
      </c>
      <c r="G21" s="4"/>
    </row>
    <row r="22" spans="1:7" x14ac:dyDescent="0.35">
      <c r="A22" s="2">
        <v>21</v>
      </c>
      <c r="B22" s="3" t="s">
        <v>26</v>
      </c>
      <c r="C22" s="4" t="s">
        <v>43</v>
      </c>
      <c r="D22" s="3" t="s">
        <v>45</v>
      </c>
      <c r="E22" s="2"/>
      <c r="F22" s="3" t="s">
        <v>44</v>
      </c>
      <c r="G22" s="4" t="s">
        <v>46</v>
      </c>
    </row>
    <row r="23" spans="1:7" x14ac:dyDescent="0.35">
      <c r="A23" s="2">
        <v>22</v>
      </c>
      <c r="B23" s="3" t="s">
        <v>26</v>
      </c>
      <c r="C23" s="4" t="s">
        <v>43</v>
      </c>
      <c r="D23" s="3" t="s">
        <v>38</v>
      </c>
      <c r="E23" s="2"/>
      <c r="F23" s="3" t="s">
        <v>44</v>
      </c>
      <c r="G23" s="4" t="s">
        <v>46</v>
      </c>
    </row>
    <row r="24" spans="1:7" x14ac:dyDescent="0.35">
      <c r="A24" s="2">
        <v>23</v>
      </c>
      <c r="B24" s="3" t="s">
        <v>26</v>
      </c>
      <c r="C24" s="4" t="s">
        <v>47</v>
      </c>
      <c r="D24" s="3" t="s">
        <v>14</v>
      </c>
      <c r="E24" s="2">
        <v>1</v>
      </c>
      <c r="F24" s="3" t="s">
        <v>48</v>
      </c>
      <c r="G24" s="4"/>
    </row>
    <row r="25" spans="1:7" ht="27.75" customHeight="1" x14ac:dyDescent="0.35">
      <c r="A25" s="5">
        <v>24</v>
      </c>
      <c r="B25" s="6" t="s">
        <v>26</v>
      </c>
      <c r="C25" s="7" t="s">
        <v>49</v>
      </c>
      <c r="D25" s="6" t="s">
        <v>50</v>
      </c>
      <c r="E25" s="5">
        <v>5</v>
      </c>
      <c r="F25" s="6" t="s">
        <v>51</v>
      </c>
      <c r="G25" s="7" t="s">
        <v>22</v>
      </c>
    </row>
    <row r="26" spans="1:7" ht="27.75" customHeight="1" x14ac:dyDescent="0.35">
      <c r="A26" s="5">
        <v>25</v>
      </c>
      <c r="B26" s="6" t="s">
        <v>26</v>
      </c>
      <c r="C26" s="7" t="s">
        <v>49</v>
      </c>
      <c r="D26" s="6" t="s">
        <v>9</v>
      </c>
      <c r="E26" s="5">
        <v>6</v>
      </c>
      <c r="F26" s="6" t="s">
        <v>51</v>
      </c>
      <c r="G26" s="7" t="s">
        <v>22</v>
      </c>
    </row>
    <row r="27" spans="1:7" ht="27.75" customHeight="1" x14ac:dyDescent="0.35">
      <c r="A27" s="5">
        <v>26</v>
      </c>
      <c r="B27" s="6" t="s">
        <v>26</v>
      </c>
      <c r="C27" s="7" t="s">
        <v>49</v>
      </c>
      <c r="D27" s="6" t="s">
        <v>14</v>
      </c>
      <c r="E27" s="5">
        <v>4</v>
      </c>
      <c r="F27" s="6" t="s">
        <v>51</v>
      </c>
      <c r="G27" s="7" t="s">
        <v>22</v>
      </c>
    </row>
    <row r="28" spans="1:7" x14ac:dyDescent="0.35">
      <c r="A28" s="2">
        <v>27</v>
      </c>
      <c r="B28" s="3" t="s">
        <v>7</v>
      </c>
      <c r="C28" s="4" t="s">
        <v>52</v>
      </c>
      <c r="D28" s="3" t="s">
        <v>52</v>
      </c>
      <c r="E28" s="2">
        <v>1</v>
      </c>
      <c r="F28" s="3" t="s">
        <v>53</v>
      </c>
      <c r="G28" s="4"/>
    </row>
    <row r="29" spans="1:7" x14ac:dyDescent="0.35">
      <c r="A29" s="2">
        <v>28</v>
      </c>
      <c r="B29" s="3" t="s">
        <v>7</v>
      </c>
      <c r="C29" s="4" t="s">
        <v>52</v>
      </c>
      <c r="D29" s="3" t="s">
        <v>52</v>
      </c>
      <c r="E29" s="2">
        <v>1</v>
      </c>
      <c r="F29" s="3" t="s">
        <v>54</v>
      </c>
      <c r="G29" s="4"/>
    </row>
    <row r="30" spans="1:7" x14ac:dyDescent="0.35">
      <c r="A30" s="2">
        <v>29</v>
      </c>
      <c r="B30" s="3" t="s">
        <v>7</v>
      </c>
      <c r="C30" s="4" t="s">
        <v>52</v>
      </c>
      <c r="D30" s="3" t="s">
        <v>52</v>
      </c>
      <c r="E30" s="2">
        <v>1</v>
      </c>
      <c r="F30" s="3" t="s">
        <v>55</v>
      </c>
      <c r="G30" s="4"/>
    </row>
    <row r="31" spans="1:7" x14ac:dyDescent="0.35">
      <c r="A31" s="2">
        <v>30</v>
      </c>
      <c r="B31" s="3" t="s">
        <v>7</v>
      </c>
      <c r="C31" s="4" t="s">
        <v>52</v>
      </c>
      <c r="D31" s="3" t="s">
        <v>52</v>
      </c>
      <c r="E31" s="2">
        <v>1</v>
      </c>
      <c r="F31" s="3" t="s">
        <v>56</v>
      </c>
      <c r="G31" s="4"/>
    </row>
    <row r="32" spans="1:7" x14ac:dyDescent="0.35">
      <c r="A32" s="2">
        <v>31</v>
      </c>
      <c r="B32" s="3" t="s">
        <v>7</v>
      </c>
      <c r="C32" s="4" t="s">
        <v>52</v>
      </c>
      <c r="D32" s="3" t="s">
        <v>52</v>
      </c>
      <c r="E32" s="2">
        <v>1</v>
      </c>
      <c r="F32" s="3" t="s">
        <v>56</v>
      </c>
      <c r="G32" s="4" t="s">
        <v>57</v>
      </c>
    </row>
    <row r="33" spans="1:7" x14ac:dyDescent="0.35">
      <c r="A33" s="2">
        <v>32</v>
      </c>
      <c r="B33" s="3" t="s">
        <v>7</v>
      </c>
      <c r="C33" s="4" t="s">
        <v>52</v>
      </c>
      <c r="D33" s="3" t="s">
        <v>52</v>
      </c>
      <c r="E33" s="2">
        <v>1</v>
      </c>
      <c r="F33" s="3" t="s">
        <v>58</v>
      </c>
      <c r="G33" s="4" t="s">
        <v>59</v>
      </c>
    </row>
    <row r="34" spans="1:7" x14ac:dyDescent="0.35">
      <c r="A34" s="2">
        <v>33</v>
      </c>
      <c r="B34" s="3" t="s">
        <v>7</v>
      </c>
      <c r="C34" s="4" t="s">
        <v>52</v>
      </c>
      <c r="D34" s="3" t="s">
        <v>52</v>
      </c>
      <c r="E34" s="2">
        <v>1</v>
      </c>
      <c r="F34" s="3" t="s">
        <v>60</v>
      </c>
      <c r="G34" s="4" t="s">
        <v>59</v>
      </c>
    </row>
    <row r="35" spans="1:7" x14ac:dyDescent="0.35">
      <c r="A35" s="2">
        <v>34</v>
      </c>
      <c r="B35" s="3" t="s">
        <v>7</v>
      </c>
      <c r="C35" s="4" t="s">
        <v>52</v>
      </c>
      <c r="D35" s="3" t="s">
        <v>52</v>
      </c>
      <c r="E35" s="2">
        <v>1</v>
      </c>
      <c r="F35" s="3" t="s">
        <v>61</v>
      </c>
      <c r="G35" s="4" t="s">
        <v>59</v>
      </c>
    </row>
    <row r="36" spans="1:7" x14ac:dyDescent="0.35">
      <c r="A36" s="2">
        <v>35</v>
      </c>
      <c r="B36" s="3" t="s">
        <v>7</v>
      </c>
      <c r="C36" s="4" t="s">
        <v>52</v>
      </c>
      <c r="D36" s="3" t="s">
        <v>52</v>
      </c>
      <c r="E36" s="2">
        <v>1</v>
      </c>
      <c r="F36" s="3" t="s">
        <v>62</v>
      </c>
      <c r="G36" s="4" t="s">
        <v>59</v>
      </c>
    </row>
    <row r="37" spans="1:7" x14ac:dyDescent="0.35">
      <c r="A37" s="2">
        <v>36</v>
      </c>
      <c r="B37" s="3" t="s">
        <v>7</v>
      </c>
      <c r="C37" s="4" t="s">
        <v>52</v>
      </c>
      <c r="D37" s="3" t="s">
        <v>52</v>
      </c>
      <c r="E37" s="2">
        <v>1</v>
      </c>
      <c r="F37" s="3" t="s">
        <v>63</v>
      </c>
      <c r="G37" s="4" t="s">
        <v>59</v>
      </c>
    </row>
    <row r="39" spans="1:7" x14ac:dyDescent="0.35">
      <c r="A39" s="8" t="s">
        <v>64</v>
      </c>
    </row>
  </sheetData>
  <autoFilter ref="A1:G37" xr:uid="{00000000-0009-0000-0000-000000000000}"/>
  <pageMargins left="0.75" right="0.75" top="1" bottom="1" header="0.511811023622047" footer="0.511811023622047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Normal="100" workbookViewId="0"/>
  </sheetViews>
  <sheetFormatPr defaultColWidth="8.6328125" defaultRowHeight="14.5" x14ac:dyDescent="0.35"/>
  <cols>
    <col min="1" max="1" width="32" customWidth="1"/>
    <col min="2" max="2" width="14" customWidth="1"/>
    <col min="3" max="3" width="22" customWidth="1"/>
  </cols>
  <sheetData>
    <row r="1" spans="1:3" x14ac:dyDescent="0.35">
      <c r="A1" s="9" t="s">
        <v>3</v>
      </c>
      <c r="B1" s="9" t="s">
        <v>65</v>
      </c>
      <c r="C1" s="9" t="s">
        <v>66</v>
      </c>
    </row>
    <row r="2" spans="1:3" x14ac:dyDescent="0.35">
      <c r="A2" s="10" t="s">
        <v>9</v>
      </c>
      <c r="B2" s="11">
        <f>COUNTIF('Daftar Sarpras'!$D$2:$D$37,A2)</f>
        <v>6</v>
      </c>
      <c r="C2" s="11">
        <f>SUMIF('Daftar Sarpras'!$D$2:$D$37,A2,'Daftar Sarpras'!$E$2:$E$37)</f>
        <v>15</v>
      </c>
    </row>
    <row r="3" spans="1:3" x14ac:dyDescent="0.35">
      <c r="A3" s="10" t="s">
        <v>12</v>
      </c>
      <c r="B3" s="11">
        <f>COUNTIF('Daftar Sarpras'!$D$2:$D$37,A3)</f>
        <v>1</v>
      </c>
      <c r="C3" s="11">
        <f>SUMIF('Daftar Sarpras'!$D$2:$D$37,A3,'Daftar Sarpras'!$E$2:$E$37)</f>
        <v>1</v>
      </c>
    </row>
    <row r="4" spans="1:3" x14ac:dyDescent="0.35">
      <c r="A4" s="10" t="s">
        <v>14</v>
      </c>
      <c r="B4" s="11">
        <f>COUNTIF('Daftar Sarpras'!$D$2:$D$37,A4)</f>
        <v>9</v>
      </c>
      <c r="C4" s="11">
        <f>SUMIF('Daftar Sarpras'!$D$2:$D$37,A4,'Daftar Sarpras'!$E$2:$E$37)</f>
        <v>14</v>
      </c>
    </row>
    <row r="5" spans="1:3" x14ac:dyDescent="0.35">
      <c r="A5" s="10" t="s">
        <v>20</v>
      </c>
      <c r="B5" s="11">
        <f>COUNTIF('Daftar Sarpras'!$D$2:$D$37,A5)</f>
        <v>1</v>
      </c>
      <c r="C5" s="11">
        <f>SUMIF('Daftar Sarpras'!$D$2:$D$37,A5,'Daftar Sarpras'!$E$2:$E$37)</f>
        <v>1</v>
      </c>
    </row>
    <row r="6" spans="1:3" x14ac:dyDescent="0.35">
      <c r="A6" s="10" t="s">
        <v>31</v>
      </c>
      <c r="B6" s="11">
        <f>COUNTIF('Daftar Sarpras'!$D$2:$D$37,A6)</f>
        <v>2</v>
      </c>
      <c r="C6" s="11">
        <f>SUMIF('Daftar Sarpras'!$D$2:$D$37,A6,'Daftar Sarpras'!$E$2:$E$37)</f>
        <v>6</v>
      </c>
    </row>
    <row r="7" spans="1:3" x14ac:dyDescent="0.35">
      <c r="A7" s="10" t="s">
        <v>33</v>
      </c>
      <c r="B7" s="11">
        <f>COUNTIF('Daftar Sarpras'!$D$2:$D$37,A7)</f>
        <v>1</v>
      </c>
      <c r="C7" s="11">
        <f>SUMIF('Daftar Sarpras'!$D$2:$D$37,A7,'Daftar Sarpras'!$E$2:$E$37)</f>
        <v>4</v>
      </c>
    </row>
    <row r="8" spans="1:3" x14ac:dyDescent="0.35">
      <c r="A8" s="10" t="s">
        <v>35</v>
      </c>
      <c r="B8" s="11">
        <f>COUNTIF('Daftar Sarpras'!$D$2:$D$37,A8)</f>
        <v>1</v>
      </c>
      <c r="C8" s="11">
        <f>SUMIF('Daftar Sarpras'!$D$2:$D$37,A8,'Daftar Sarpras'!$E$2:$E$37)</f>
        <v>2</v>
      </c>
    </row>
    <row r="9" spans="1:3" x14ac:dyDescent="0.35">
      <c r="A9" s="10" t="s">
        <v>38</v>
      </c>
      <c r="B9" s="11">
        <f>COUNTIF('Daftar Sarpras'!$D$2:$D$37,A9)</f>
        <v>2</v>
      </c>
      <c r="C9" s="11">
        <f>SUMIF('Daftar Sarpras'!$D$2:$D$37,A9,'Daftar Sarpras'!$E$2:$E$37)</f>
        <v>1</v>
      </c>
    </row>
    <row r="10" spans="1:3" x14ac:dyDescent="0.35">
      <c r="A10" s="10" t="s">
        <v>40</v>
      </c>
      <c r="B10" s="11">
        <f>COUNTIF('Daftar Sarpras'!$D$2:$D$37,A10)</f>
        <v>1</v>
      </c>
      <c r="C10" s="11">
        <f>SUMIF('Daftar Sarpras'!$D$2:$D$37,A10,'Daftar Sarpras'!$E$2:$E$37)</f>
        <v>1</v>
      </c>
    </row>
    <row r="11" spans="1:3" x14ac:dyDescent="0.35">
      <c r="A11" s="10" t="s">
        <v>45</v>
      </c>
      <c r="B11" s="11">
        <f>COUNTIF('Daftar Sarpras'!$D$2:$D$37,A11)</f>
        <v>1</v>
      </c>
      <c r="C11" s="11">
        <f>SUMIF('Daftar Sarpras'!$D$2:$D$37,A11,'Daftar Sarpras'!$E$2:$E$37)</f>
        <v>0</v>
      </c>
    </row>
    <row r="12" spans="1:3" x14ac:dyDescent="0.35">
      <c r="A12" s="10" t="s">
        <v>50</v>
      </c>
      <c r="B12" s="11">
        <f>COUNTIF('Daftar Sarpras'!$D$2:$D$37,A12)</f>
        <v>1</v>
      </c>
      <c r="C12" s="11">
        <f>SUMIF('Daftar Sarpras'!$D$2:$D$37,A12,'Daftar Sarpras'!$E$2:$E$37)</f>
        <v>5</v>
      </c>
    </row>
    <row r="13" spans="1:3" x14ac:dyDescent="0.35">
      <c r="A13" s="10" t="s">
        <v>52</v>
      </c>
      <c r="B13" s="11">
        <f>COUNTIF('Daftar Sarpras'!$D$2:$D$37,A13)</f>
        <v>10</v>
      </c>
      <c r="C13" s="11">
        <f>SUMIF('Daftar Sarpras'!$D$2:$D$37,A13,'Daftar Sarpras'!$E$2:$E$37)</f>
        <v>10</v>
      </c>
    </row>
    <row r="14" spans="1:3" x14ac:dyDescent="0.35">
      <c r="A14" s="12" t="s">
        <v>67</v>
      </c>
      <c r="B14" s="13">
        <f>SUM(B2:B13)</f>
        <v>36</v>
      </c>
      <c r="C14" s="13">
        <f>SUM(C2:C13)</f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Daftar Sarpras</vt:lpstr>
      <vt:lpstr>Rekap</vt:lpstr>
      <vt:lpstr>'Daftar Sarpras'!Print_Area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Okto Reno</cp:lastModifiedBy>
  <cp:revision>0</cp:revision>
  <cp:lastPrinted>2026-10-22T13:54:37Z</cp:lastPrinted>
  <dcterms:created xsi:type="dcterms:W3CDTF">2026-10-20T01:33:55Z</dcterms:created>
  <dcterms:modified xsi:type="dcterms:W3CDTF">2026-10-22T13:54:42Z</dcterms:modified>
  <dc:language>en-US</dc:language>
</cp:coreProperties>
</file>